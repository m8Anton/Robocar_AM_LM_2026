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kas\Desktop\Hochschule\Informatik_1_DHBW\"/>
    </mc:Choice>
  </mc:AlternateContent>
  <xr:revisionPtr revIDLastSave="0" documentId="13_ncr:1_{6262B1AD-0D3D-46FF-8F71-142A9F448A7C}" xr6:coauthVersionLast="47" xr6:coauthVersionMax="47" xr10:uidLastSave="{00000000-0000-0000-0000-000000000000}"/>
  <bookViews>
    <workbookView xWindow="-38520" yWindow="2970" windowWidth="38640" windowHeight="21120" activeTab="1" xr2:uid="{00000000-000D-0000-FFFF-FFFF00000000}"/>
  </bookViews>
  <sheets>
    <sheet name="Messdaten" sheetId="2" r:id="rId1"/>
    <sheet name="Auswertu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6" i="2"/>
  <c r="G5" i="2"/>
  <c r="I104" i="2"/>
  <c r="H104" i="2"/>
  <c r="G104" i="2"/>
  <c r="F104" i="2"/>
  <c r="V104" i="2" s="1"/>
  <c r="I103" i="2"/>
  <c r="H103" i="2"/>
  <c r="G103" i="2"/>
  <c r="F103" i="2"/>
  <c r="V103" i="2" s="1"/>
  <c r="I102" i="2"/>
  <c r="H102" i="2"/>
  <c r="G102" i="2"/>
  <c r="F102" i="2"/>
  <c r="V102" i="2" s="1"/>
  <c r="I101" i="2"/>
  <c r="H101" i="2"/>
  <c r="G101" i="2"/>
  <c r="F101" i="2"/>
  <c r="V101" i="2" s="1"/>
  <c r="I100" i="2"/>
  <c r="H100" i="2"/>
  <c r="G100" i="2"/>
  <c r="F100" i="2"/>
  <c r="V100" i="2" s="1"/>
  <c r="V99" i="2"/>
  <c r="I99" i="2"/>
  <c r="H99" i="2"/>
  <c r="G99" i="2"/>
  <c r="F99" i="2"/>
  <c r="V98" i="2"/>
  <c r="I98" i="2"/>
  <c r="H98" i="2"/>
  <c r="G98" i="2"/>
  <c r="F98" i="2"/>
  <c r="I97" i="2"/>
  <c r="H97" i="2"/>
  <c r="G97" i="2"/>
  <c r="F97" i="2"/>
  <c r="V97" i="2" s="1"/>
  <c r="I96" i="2"/>
  <c r="H96" i="2"/>
  <c r="G96" i="2"/>
  <c r="F96" i="2"/>
  <c r="V96" i="2" s="1"/>
  <c r="I95" i="2"/>
  <c r="H95" i="2"/>
  <c r="G95" i="2"/>
  <c r="F95" i="2"/>
  <c r="V95" i="2" s="1"/>
  <c r="V94" i="2"/>
  <c r="I94" i="2"/>
  <c r="H94" i="2"/>
  <c r="G94" i="2"/>
  <c r="F94" i="2"/>
  <c r="V93" i="2"/>
  <c r="I93" i="2"/>
  <c r="H93" i="2"/>
  <c r="G93" i="2"/>
  <c r="F93" i="2"/>
  <c r="I92" i="2"/>
  <c r="H92" i="2"/>
  <c r="G92" i="2"/>
  <c r="F92" i="2"/>
  <c r="V92" i="2" s="1"/>
  <c r="I91" i="2"/>
  <c r="H91" i="2"/>
  <c r="G91" i="2"/>
  <c r="F91" i="2"/>
  <c r="V91" i="2" s="1"/>
  <c r="I90" i="2"/>
  <c r="H90" i="2"/>
  <c r="G90" i="2"/>
  <c r="F90" i="2"/>
  <c r="V90" i="2" s="1"/>
  <c r="V89" i="2"/>
  <c r="I89" i="2"/>
  <c r="H89" i="2"/>
  <c r="G89" i="2"/>
  <c r="F89" i="2"/>
  <c r="I88" i="2"/>
  <c r="H88" i="2"/>
  <c r="G88" i="2"/>
  <c r="F88" i="2"/>
  <c r="V88" i="2" s="1"/>
  <c r="I87" i="2"/>
  <c r="H87" i="2"/>
  <c r="G87" i="2"/>
  <c r="F87" i="2"/>
  <c r="V87" i="2" s="1"/>
  <c r="I86" i="2"/>
  <c r="H86" i="2"/>
  <c r="G86" i="2"/>
  <c r="F86" i="2"/>
  <c r="V86" i="2" s="1"/>
  <c r="V85" i="2"/>
  <c r="I85" i="2"/>
  <c r="H85" i="2"/>
  <c r="G85" i="2"/>
  <c r="F85" i="2"/>
  <c r="I84" i="2"/>
  <c r="H84" i="2"/>
  <c r="G84" i="2"/>
  <c r="F84" i="2"/>
  <c r="V84" i="2" s="1"/>
  <c r="I83" i="2"/>
  <c r="H83" i="2"/>
  <c r="G83" i="2"/>
  <c r="F83" i="2"/>
  <c r="V83" i="2" s="1"/>
  <c r="I82" i="2"/>
  <c r="H82" i="2"/>
  <c r="G82" i="2"/>
  <c r="F82" i="2"/>
  <c r="V82" i="2" s="1"/>
  <c r="I81" i="2"/>
  <c r="H81" i="2"/>
  <c r="G81" i="2"/>
  <c r="F81" i="2"/>
  <c r="V81" i="2" s="1"/>
  <c r="V80" i="2"/>
  <c r="I80" i="2"/>
  <c r="H80" i="2"/>
  <c r="G80" i="2"/>
  <c r="F80" i="2"/>
  <c r="I79" i="2"/>
  <c r="H79" i="2"/>
  <c r="G79" i="2"/>
  <c r="F79" i="2"/>
  <c r="V79" i="2" s="1"/>
  <c r="I78" i="2"/>
  <c r="H78" i="2"/>
  <c r="G78" i="2"/>
  <c r="F78" i="2"/>
  <c r="V78" i="2" s="1"/>
  <c r="I77" i="2"/>
  <c r="H77" i="2"/>
  <c r="G77" i="2"/>
  <c r="F77" i="2"/>
  <c r="V77" i="2" s="1"/>
  <c r="V76" i="2"/>
  <c r="I76" i="2"/>
  <c r="H76" i="2"/>
  <c r="G76" i="2"/>
  <c r="F76" i="2"/>
  <c r="I75" i="2"/>
  <c r="H75" i="2"/>
  <c r="G75" i="2"/>
  <c r="F75" i="2"/>
  <c r="V75" i="2" s="1"/>
  <c r="I74" i="2"/>
  <c r="H74" i="2"/>
  <c r="G74" i="2"/>
  <c r="F74" i="2"/>
  <c r="V74" i="2" s="1"/>
  <c r="I73" i="2"/>
  <c r="H73" i="2"/>
  <c r="G73" i="2"/>
  <c r="F73" i="2"/>
  <c r="V73" i="2" s="1"/>
  <c r="V72" i="2"/>
  <c r="I72" i="2"/>
  <c r="H72" i="2"/>
  <c r="G72" i="2"/>
  <c r="F72" i="2"/>
  <c r="V71" i="2"/>
  <c r="I71" i="2"/>
  <c r="H71" i="2"/>
  <c r="G71" i="2"/>
  <c r="F71" i="2"/>
  <c r="I70" i="2"/>
  <c r="H70" i="2"/>
  <c r="G70" i="2"/>
  <c r="F70" i="2"/>
  <c r="V70" i="2" s="1"/>
  <c r="I69" i="2"/>
  <c r="H69" i="2"/>
  <c r="G69" i="2"/>
  <c r="F69" i="2"/>
  <c r="V69" i="2" s="1"/>
  <c r="I68" i="2"/>
  <c r="H68" i="2"/>
  <c r="G68" i="2"/>
  <c r="F68" i="2"/>
  <c r="V68" i="2" s="1"/>
  <c r="V67" i="2"/>
  <c r="I67" i="2"/>
  <c r="H67" i="2"/>
  <c r="G67" i="2"/>
  <c r="F67" i="2"/>
  <c r="I66" i="2"/>
  <c r="H66" i="2"/>
  <c r="G66" i="2"/>
  <c r="F66" i="2"/>
  <c r="V66" i="2" s="1"/>
  <c r="I65" i="2"/>
  <c r="H65" i="2"/>
  <c r="G65" i="2"/>
  <c r="F65" i="2"/>
  <c r="V65" i="2" s="1"/>
  <c r="I64" i="2"/>
  <c r="H64" i="2"/>
  <c r="G64" i="2"/>
  <c r="F64" i="2"/>
  <c r="V64" i="2" s="1"/>
  <c r="I63" i="2"/>
  <c r="H63" i="2"/>
  <c r="G63" i="2"/>
  <c r="F63" i="2"/>
  <c r="V63" i="2" s="1"/>
  <c r="I62" i="2"/>
  <c r="H62" i="2"/>
  <c r="G62" i="2"/>
  <c r="F62" i="2"/>
  <c r="V62" i="2" s="1"/>
  <c r="I61" i="2"/>
  <c r="H61" i="2"/>
  <c r="G61" i="2"/>
  <c r="F61" i="2"/>
  <c r="V61" i="2" s="1"/>
  <c r="I60" i="2"/>
  <c r="H60" i="2"/>
  <c r="G60" i="2"/>
  <c r="F60" i="2"/>
  <c r="V60" i="2" s="1"/>
  <c r="I59" i="2"/>
  <c r="H59" i="2"/>
  <c r="G59" i="2"/>
  <c r="F59" i="2"/>
  <c r="V59" i="2" s="1"/>
  <c r="V58" i="2"/>
  <c r="I58" i="2"/>
  <c r="H58" i="2"/>
  <c r="G58" i="2"/>
  <c r="F58" i="2"/>
  <c r="I57" i="2"/>
  <c r="H57" i="2"/>
  <c r="G57" i="2"/>
  <c r="F57" i="2"/>
  <c r="V57" i="2" s="1"/>
  <c r="V56" i="2"/>
  <c r="I56" i="2"/>
  <c r="H56" i="2"/>
  <c r="G56" i="2"/>
  <c r="F56" i="2"/>
  <c r="I55" i="2"/>
  <c r="H55" i="2"/>
  <c r="G55" i="2"/>
  <c r="F55" i="2"/>
  <c r="V55" i="2" s="1"/>
  <c r="V54" i="2"/>
  <c r="I54" i="2"/>
  <c r="H54" i="2"/>
  <c r="G54" i="2"/>
  <c r="F54" i="2"/>
  <c r="I53" i="2"/>
  <c r="H53" i="2"/>
  <c r="G53" i="2"/>
  <c r="F53" i="2"/>
  <c r="V53" i="2" s="1"/>
  <c r="I52" i="2"/>
  <c r="H52" i="2"/>
  <c r="G52" i="2"/>
  <c r="F52" i="2"/>
  <c r="V52" i="2" s="1"/>
  <c r="I51" i="2"/>
  <c r="H51" i="2"/>
  <c r="G51" i="2"/>
  <c r="F51" i="2"/>
  <c r="V51" i="2" s="1"/>
  <c r="V50" i="2"/>
  <c r="I50" i="2"/>
  <c r="H50" i="2"/>
  <c r="G50" i="2"/>
  <c r="F50" i="2"/>
  <c r="V49" i="2"/>
  <c r="I49" i="2"/>
  <c r="H49" i="2"/>
  <c r="G49" i="2"/>
  <c r="F49" i="2"/>
  <c r="I48" i="2"/>
  <c r="H48" i="2"/>
  <c r="G48" i="2"/>
  <c r="F48" i="2"/>
  <c r="V48" i="2" s="1"/>
  <c r="V47" i="2"/>
  <c r="I47" i="2"/>
  <c r="H47" i="2"/>
  <c r="G47" i="2"/>
  <c r="F47" i="2"/>
  <c r="I46" i="2"/>
  <c r="H46" i="2"/>
  <c r="G46" i="2"/>
  <c r="F46" i="2"/>
  <c r="V46" i="2" s="1"/>
  <c r="V45" i="2"/>
  <c r="I45" i="2"/>
  <c r="H45" i="2"/>
  <c r="G45" i="2"/>
  <c r="F45" i="2"/>
  <c r="I44" i="2"/>
  <c r="H44" i="2"/>
  <c r="G44" i="2"/>
  <c r="F44" i="2"/>
  <c r="V44" i="2" s="1"/>
  <c r="I43" i="2"/>
  <c r="H43" i="2"/>
  <c r="G43" i="2"/>
  <c r="F43" i="2"/>
  <c r="V43" i="2" s="1"/>
  <c r="V42" i="2"/>
  <c r="I42" i="2"/>
  <c r="H42" i="2"/>
  <c r="G42" i="2"/>
  <c r="F42" i="2"/>
  <c r="I41" i="2"/>
  <c r="H41" i="2"/>
  <c r="G41" i="2"/>
  <c r="F41" i="2"/>
  <c r="V41" i="2" s="1"/>
  <c r="I40" i="2"/>
  <c r="H40" i="2"/>
  <c r="G40" i="2"/>
  <c r="F40" i="2"/>
  <c r="V40" i="2" s="1"/>
  <c r="I39" i="2"/>
  <c r="H39" i="2"/>
  <c r="G39" i="2"/>
  <c r="F39" i="2"/>
  <c r="V39" i="2" s="1"/>
  <c r="I38" i="2"/>
  <c r="H38" i="2"/>
  <c r="G38" i="2"/>
  <c r="F38" i="2"/>
  <c r="V38" i="2" s="1"/>
  <c r="I37" i="2"/>
  <c r="H37" i="2"/>
  <c r="G37" i="2"/>
  <c r="F37" i="2"/>
  <c r="V37" i="2" s="1"/>
  <c r="V36" i="2"/>
  <c r="I36" i="2"/>
  <c r="H36" i="2"/>
  <c r="G36" i="2"/>
  <c r="F36" i="2"/>
  <c r="I35" i="2"/>
  <c r="H35" i="2"/>
  <c r="G35" i="2"/>
  <c r="F35" i="2"/>
  <c r="V35" i="2" s="1"/>
  <c r="I34" i="2"/>
  <c r="H34" i="2"/>
  <c r="G34" i="2"/>
  <c r="F34" i="2"/>
  <c r="V34" i="2" s="1"/>
  <c r="V33" i="2"/>
  <c r="I33" i="2"/>
  <c r="H33" i="2"/>
  <c r="G33" i="2"/>
  <c r="F33" i="2"/>
  <c r="V32" i="2"/>
  <c r="I32" i="2"/>
  <c r="H32" i="2"/>
  <c r="G32" i="2"/>
  <c r="F32" i="2"/>
  <c r="I31" i="2"/>
  <c r="H31" i="2"/>
  <c r="G31" i="2"/>
  <c r="F31" i="2"/>
  <c r="V31" i="2" s="1"/>
  <c r="I30" i="2"/>
  <c r="H30" i="2"/>
  <c r="F30" i="2"/>
  <c r="V30" i="2" s="1"/>
  <c r="I29" i="2"/>
  <c r="H29" i="2"/>
  <c r="F29" i="2"/>
  <c r="V29" i="2" s="1"/>
  <c r="V28" i="2"/>
  <c r="I28" i="2"/>
  <c r="H28" i="2"/>
  <c r="F28" i="2"/>
  <c r="V27" i="2"/>
  <c r="I27" i="2"/>
  <c r="H27" i="2"/>
  <c r="F27" i="2"/>
  <c r="I26" i="2"/>
  <c r="H26" i="2"/>
  <c r="F26" i="2"/>
  <c r="V26" i="2" s="1"/>
  <c r="I25" i="2"/>
  <c r="H25" i="2"/>
  <c r="F25" i="2"/>
  <c r="V25" i="2" s="1"/>
  <c r="I24" i="2"/>
  <c r="H24" i="2"/>
  <c r="F24" i="2"/>
  <c r="V24" i="2" s="1"/>
  <c r="V23" i="2"/>
  <c r="I23" i="2"/>
  <c r="H23" i="2"/>
  <c r="F23" i="2"/>
  <c r="I22" i="2"/>
  <c r="H22" i="2"/>
  <c r="F22" i="2"/>
  <c r="V22" i="2" s="1"/>
  <c r="I21" i="2"/>
  <c r="H21" i="2"/>
  <c r="F21" i="2"/>
  <c r="V21" i="2" s="1"/>
  <c r="I20" i="2"/>
  <c r="H20" i="2"/>
  <c r="F20" i="2"/>
  <c r="V20" i="2" s="1"/>
  <c r="V19" i="2"/>
  <c r="I19" i="2"/>
  <c r="H19" i="2"/>
  <c r="F19" i="2"/>
  <c r="I18" i="2"/>
  <c r="H18" i="2"/>
  <c r="F18" i="2"/>
  <c r="V18" i="2" s="1"/>
  <c r="I17" i="2"/>
  <c r="H17" i="2"/>
  <c r="F17" i="2"/>
  <c r="V17" i="2" s="1"/>
  <c r="I16" i="2"/>
  <c r="H16" i="2"/>
  <c r="F16" i="2"/>
  <c r="V16" i="2" s="1"/>
  <c r="I15" i="2"/>
  <c r="H15" i="2"/>
  <c r="F15" i="2"/>
  <c r="V15" i="2" s="1"/>
  <c r="I14" i="2"/>
  <c r="H14" i="2"/>
  <c r="F14" i="2"/>
  <c r="V14" i="2" s="1"/>
  <c r="I13" i="2"/>
  <c r="H13" i="2"/>
  <c r="F13" i="2"/>
  <c r="V13" i="2" s="1"/>
  <c r="I12" i="2"/>
  <c r="H12" i="2"/>
  <c r="F12" i="2"/>
  <c r="V12" i="2" s="1"/>
  <c r="I11" i="2"/>
  <c r="H11" i="2"/>
  <c r="F11" i="2"/>
  <c r="V11" i="2" s="1"/>
  <c r="I10" i="2"/>
  <c r="H10" i="2"/>
  <c r="F10" i="2"/>
  <c r="V10" i="2" s="1"/>
  <c r="I9" i="2"/>
  <c r="H9" i="2"/>
  <c r="F9" i="2"/>
  <c r="V9" i="2" s="1"/>
  <c r="I8" i="2"/>
  <c r="H8" i="2"/>
  <c r="F8" i="2"/>
  <c r="V8" i="2" s="1"/>
  <c r="I7" i="2"/>
  <c r="H7" i="2"/>
  <c r="F7" i="2"/>
  <c r="V7" i="2" s="1"/>
  <c r="I6" i="2"/>
  <c r="H6" i="2"/>
  <c r="F6" i="2"/>
  <c r="I5" i="2"/>
  <c r="H5" i="2"/>
  <c r="F5" i="2"/>
  <c r="V5" i="2" s="1"/>
  <c r="B8" i="3" l="1"/>
  <c r="B5" i="3"/>
  <c r="B7" i="3"/>
  <c r="V6" i="2"/>
  <c r="B14" i="3" s="1"/>
  <c r="B16" i="3" l="1"/>
  <c r="G16" i="3" s="1"/>
  <c r="B6" i="3"/>
  <c r="B15" i="3"/>
  <c r="K15" i="3" s="1"/>
  <c r="B12" i="3"/>
  <c r="N12" i="3" s="1"/>
  <c r="B20" i="3"/>
  <c r="G20" i="3" s="1"/>
  <c r="B17" i="3"/>
  <c r="M17" i="3" s="1"/>
  <c r="C14" i="3"/>
  <c r="O14" i="3"/>
  <c r="M14" i="3"/>
  <c r="L14" i="3"/>
  <c r="I14" i="3"/>
  <c r="F14" i="3"/>
  <c r="E14" i="3"/>
  <c r="N14" i="3"/>
  <c r="K14" i="3"/>
  <c r="J14" i="3"/>
  <c r="H14" i="3"/>
  <c r="G14" i="3"/>
  <c r="D14" i="3"/>
  <c r="B19" i="3"/>
  <c r="B21" i="3"/>
  <c r="B18" i="3"/>
  <c r="B13" i="3"/>
  <c r="F20" i="3" l="1"/>
  <c r="I20" i="3"/>
  <c r="J20" i="3"/>
  <c r="K20" i="3"/>
  <c r="H20" i="3"/>
  <c r="O12" i="3"/>
  <c r="H16" i="3"/>
  <c r="I16" i="3"/>
  <c r="D16" i="3"/>
  <c r="F16" i="3"/>
  <c r="C17" i="3"/>
  <c r="E17" i="3"/>
  <c r="L20" i="3"/>
  <c r="M20" i="3"/>
  <c r="N20" i="3"/>
  <c r="O20" i="3"/>
  <c r="C20" i="3"/>
  <c r="D20" i="3"/>
  <c r="E20" i="3"/>
  <c r="G17" i="3"/>
  <c r="H17" i="3"/>
  <c r="J17" i="3"/>
  <c r="N17" i="3"/>
  <c r="D17" i="3"/>
  <c r="F17" i="3"/>
  <c r="I17" i="3"/>
  <c r="K17" i="3"/>
  <c r="L17" i="3"/>
  <c r="O17" i="3"/>
  <c r="C12" i="3"/>
  <c r="D12" i="3"/>
  <c r="E12" i="3"/>
  <c r="C16" i="3"/>
  <c r="F12" i="3"/>
  <c r="E16" i="3"/>
  <c r="G12" i="3"/>
  <c r="J16" i="3"/>
  <c r="I12" i="3"/>
  <c r="K16" i="3"/>
  <c r="M15" i="3"/>
  <c r="L16" i="3"/>
  <c r="J15" i="3"/>
  <c r="M16" i="3"/>
  <c r="L15" i="3"/>
  <c r="N16" i="3"/>
  <c r="N15" i="3"/>
  <c r="O16" i="3"/>
  <c r="O15" i="3"/>
  <c r="C15" i="3"/>
  <c r="D15" i="3"/>
  <c r="E15" i="3"/>
  <c r="F15" i="3"/>
  <c r="H12" i="3"/>
  <c r="G15" i="3"/>
  <c r="L12" i="3"/>
  <c r="H15" i="3"/>
  <c r="J12" i="3"/>
  <c r="I15" i="3"/>
  <c r="K12" i="3"/>
  <c r="M12" i="3"/>
  <c r="O13" i="3"/>
  <c r="N13" i="3"/>
  <c r="M13" i="3"/>
  <c r="L13" i="3"/>
  <c r="K13" i="3"/>
  <c r="J13" i="3"/>
  <c r="I13" i="3"/>
  <c r="H13" i="3"/>
  <c r="F13" i="3"/>
  <c r="D13" i="3"/>
  <c r="C13" i="3"/>
  <c r="G13" i="3"/>
  <c r="E13" i="3"/>
  <c r="M18" i="3"/>
  <c r="K18" i="3"/>
  <c r="J18" i="3"/>
  <c r="I18" i="3"/>
  <c r="H18" i="3"/>
  <c r="G18" i="3"/>
  <c r="F18" i="3"/>
  <c r="E18" i="3"/>
  <c r="D18" i="3"/>
  <c r="O18" i="3"/>
  <c r="L18" i="3"/>
  <c r="N18" i="3"/>
  <c r="C18" i="3"/>
  <c r="O21" i="3"/>
  <c r="M21" i="3"/>
  <c r="L21" i="3"/>
  <c r="K21" i="3"/>
  <c r="J21" i="3"/>
  <c r="I21" i="3"/>
  <c r="H21" i="3"/>
  <c r="G21" i="3"/>
  <c r="F21" i="3"/>
  <c r="N21" i="3"/>
  <c r="D21" i="3"/>
  <c r="C21" i="3"/>
  <c r="E21" i="3"/>
  <c r="O19" i="3"/>
  <c r="N19" i="3"/>
  <c r="M19" i="3"/>
  <c r="L19" i="3"/>
  <c r="C19" i="3"/>
  <c r="K19" i="3"/>
  <c r="J19" i="3"/>
  <c r="G19" i="3"/>
  <c r="F19" i="3"/>
  <c r="E19" i="3"/>
  <c r="I19" i="3"/>
  <c r="H19" i="3"/>
  <c r="D19" i="3"/>
</calcChain>
</file>

<file path=xl/sharedStrings.xml><?xml version="1.0" encoding="utf-8"?>
<sst xmlns="http://schemas.openxmlformats.org/spreadsheetml/2006/main" count="216" uniqueCount="153">
  <si>
    <t>Test_ID</t>
  </si>
  <si>
    <t>Zeit_1_s</t>
  </si>
  <si>
    <t>Zeit_2_s</t>
  </si>
  <si>
    <t>Zeit_3_s</t>
  </si>
  <si>
    <t>Zeit_4_s</t>
  </si>
  <si>
    <t>Mittelwert_s</t>
  </si>
  <si>
    <t>StdAbw_s</t>
  </si>
  <si>
    <t>Bestzeit_s</t>
  </si>
  <si>
    <t>Schlechtestzeit_s</t>
  </si>
  <si>
    <t>Grund_Geschwindigkeit</t>
  </si>
  <si>
    <t>Min_Motor</t>
  </si>
  <si>
    <t>Max_Motor</t>
  </si>
  <si>
    <t>Losfahr_Geschwindigkeit</t>
  </si>
  <si>
    <t>Korrektur_Gerade</t>
  </si>
  <si>
    <t>Korrektur_Start</t>
  </si>
  <si>
    <t>Korrektur_Max</t>
  </si>
  <si>
    <t>Korrektur_Anstieg_s</t>
  </si>
  <si>
    <t>Gerade_Toleranz</t>
  </si>
  <si>
    <t>Regel_Pause</t>
  </si>
  <si>
    <t>Korrektur_Fast_Mitte</t>
  </si>
  <si>
    <t>Bemerkung</t>
  </si>
  <si>
    <t>Hilfswert_Rang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</si>
  <si>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</si>
  <si>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</si>
  <si>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</si>
  <si>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</si>
  <si>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</si>
  <si>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</si>
  <si>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</si>
  <si>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</si>
  <si>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</si>
  <si>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</si>
  <si>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</si>
  <si>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</si>
  <si>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</si>
  <si>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</si>
  <si>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</si>
  <si>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</si>
  <si>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</si>
  <si>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</si>
  <si>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</si>
  <si>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</si>
  <si>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</si>
  <si>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</si>
  <si>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</si>
  <si>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</si>
  <si>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</si>
  <si>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</si>
  <si>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</si>
  <si>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</si>
  <si>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</si>
  <si>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</si>
  <si>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</si>
  <si>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</si>
  <si>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</si>
  <si>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</si>
  <si>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</si>
  <si>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</si>
  <si>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</si>
  <si>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</si>
  <si>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</si>
  <si>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</si>
  <si>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</si>
  <si>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</si>
  <si>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</si>
  <si>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</si>
  <si>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</si>
  <si>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</si>
  <si>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</si>
  <si>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</si>
  <si>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</si>
  <si>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</si>
  <si>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</si>
  <si>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</si>
  <si>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</si>
  <si>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</si>
  <si>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</si>
  <si>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</si>
  <si>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</si>
  <si>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</si>
  <si>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</si>
  <si>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</si>
  <si>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</si>
  <si>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</si>
  <si>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</si>
  <si>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</si>
  <si>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</si>
  <si>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</si>
  <si>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</si>
  <si>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</si>
  <si>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</si>
  <si>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</si>
  <si>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</si>
  <si>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</si>
  <si>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</si>
  <si>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</si>
  <si>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</si>
  <si>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</si>
  <si>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</si>
  <si>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</si>
  <si>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</si>
  <si>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</si>
  <si>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</si>
  <si>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</si>
  <si>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</si>
  <si>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</si>
  <si>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</si>
  <si>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</si>
  <si>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</si>
  <si>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</si>
  <si>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</si>
  <si>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</si>
  <si>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</si>
  <si>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</si>
  <si>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</si>
  <si>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</si>
  <si>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</si>
  <si>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</si>
  <si>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</si>
  <si>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</si>
  <si>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</si>
  <si>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</si>
  <si>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Ergebnisübersicht</t>
  </si>
  <si>
    <t>Auswertung nach Mittelwert: kleiner = besser. Die Tabelle unten zeigt die 10 schnellsten Einstellungen.</t>
  </si>
  <si>
    <t>Beste Mittelzeit</t>
  </si>
  <si>
    <t>Beste Test-ID</t>
  </si>
  <si>
    <t>Ausgewertete Läufe</t>
  </si>
  <si>
    <t>Langsamste Mittelzeit</t>
  </si>
  <si>
    <t>Rang</t>
  </si>
  <si>
    <t>Hilfswert</t>
  </si>
  <si>
    <t>0.12</t>
  </si>
  <si>
    <t>0.03</t>
  </si>
  <si>
    <t>0.2</t>
  </si>
  <si>
    <t>Codeanpassungen</t>
  </si>
  <si>
    <t>0.15</t>
  </si>
  <si>
    <t>1x Linie nicht erkannt</t>
  </si>
  <si>
    <t xml:space="preserve"> </t>
  </si>
  <si>
    <t>keine Werte</t>
  </si>
  <si>
    <t>"korrektur * 3" in der Gegenläufigen Funktion</t>
  </si>
  <si>
    <t>sehr ruhig</t>
  </si>
  <si>
    <t>0.5</t>
  </si>
  <si>
    <t>0.01</t>
  </si>
  <si>
    <t>Starke Codeanpassungen: Rechnungen wurden verändert; Losfahrgeschwindigkeit rausgenommen</t>
  </si>
  <si>
    <t>empty</t>
  </si>
  <si>
    <t>0.3</t>
  </si>
  <si>
    <t>0.8</t>
  </si>
  <si>
    <t>0.02</t>
  </si>
  <si>
    <t>sehr starkes ausbrechen</t>
  </si>
  <si>
    <t>weniger starkes ansbrechen, aber noch stark</t>
  </si>
  <si>
    <t>0.005</t>
  </si>
  <si>
    <t>0.009</t>
  </si>
  <si>
    <t>Optimierung von V009; sehr gripplastig</t>
  </si>
  <si>
    <t>Optimierung von V009; mehr Abweichung als V009, aber schneller wenn alles gut läuft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</si>
</sst>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5F5F5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1" applyFont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vertical="center" wrapText="1"/>
    </xf>
    <xf numFmtId="2" fontId="0" fillId="4" borderId="0" xfId="1" applyNumberFormat="1" applyFont="1" applyFill="1" applyAlignment="1">
      <alignment vertical="center" wrapText="1"/>
    </xf>
    <xf numFmtId="2" fontId="0" fillId="5" borderId="0" xfId="1" applyNumberFormat="1" applyFont="1" applyFill="1" applyAlignment="1">
      <alignment vertical="center" wrapText="1"/>
    </xf>
    <xf numFmtId="0" fontId="0" fillId="6" borderId="0" xfId="1" applyFont="1" applyFill="1"/>
    <xf numFmtId="0" fontId="4" fillId="7" borderId="0" xfId="1" applyFont="1" applyFill="1" applyAlignment="1">
      <alignment horizontal="center" vertical="center" wrapText="1"/>
    </xf>
    <xf numFmtId="2" fontId="0" fillId="0" borderId="0" xfId="1" applyNumberFormat="1" applyFont="1"/>
    <xf numFmtId="2" fontId="0" fillId="0" borderId="0" xfId="1" applyNumberFormat="1" applyFont="1" applyAlignment="1">
      <alignment vertical="center" wrapText="1"/>
    </xf>
    <xf numFmtId="1" fontId="0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/>
              <a:t>Top 10 – Mittelwert der Rundenzeit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Mittelwert_s</c:v>
          </c:tx>
          <c:invertIfNegative val="1"/>
          <c:cat>
            <c:strRef>
              <c:f>Auswertung!$C$12:$C$21</c:f>
              <c:strCache>
                <c:ptCount val="10"/>
                <c:pt idx="0">
                  <c:v>V009</c:v>
                </c:pt>
                <c:pt idx="1">
                  <c:v>V014</c:v>
                </c:pt>
                <c:pt idx="2">
                  <c:v>V013</c:v>
                </c:pt>
                <c:pt idx="3">
                  <c:v>V010</c:v>
                </c:pt>
                <c:pt idx="4">
                  <c:v>V011</c:v>
                </c:pt>
                <c:pt idx="5">
                  <c:v>V012</c:v>
                </c:pt>
                <c:pt idx="6">
                  <c:v>V007</c:v>
                </c:pt>
                <c:pt idx="7">
                  <c:v>V008</c:v>
                </c:pt>
                <c:pt idx="8">
                  <c:v>V005</c:v>
                </c:pt>
                <c:pt idx="9">
                  <c:v>V004</c:v>
                </c:pt>
              </c:strCache>
            </c:strRef>
          </c:cat>
          <c:val>
            <c:numRef>
              <c:f>Auswertung!$D$12:$D$21</c:f>
              <c:numCache>
                <c:formatCode>0.00</c:formatCode>
                <c:ptCount val="10"/>
                <c:pt idx="0">
                  <c:v>27.2</c:v>
                </c:pt>
                <c:pt idx="1">
                  <c:v>27.200000000000003</c:v>
                </c:pt>
                <c:pt idx="2">
                  <c:v>28.024999999999999</c:v>
                </c:pt>
                <c:pt idx="3">
                  <c:v>28.074999999999999</c:v>
                </c:pt>
                <c:pt idx="4">
                  <c:v>28.375</c:v>
                </c:pt>
                <c:pt idx="5">
                  <c:v>29.425000000000001</c:v>
                </c:pt>
                <c:pt idx="6">
                  <c:v>30.2</c:v>
                </c:pt>
                <c:pt idx="7">
                  <c:v>30.825000000000003</c:v>
                </c:pt>
                <c:pt idx="8">
                  <c:v>32.200000000000003</c:v>
                </c:pt>
                <c:pt idx="9">
                  <c:v>32.375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5-4C82-9D47-703AA08F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sdatenTable" displayName="MessdatenTable" ref="A4:V104">
  <tableColumns count="22">
    <tableColumn id="1" xr3:uid="{00000000-0010-0000-0000-000001000000}" name="Test_ID"/>
    <tableColumn id="2" xr3:uid="{00000000-0010-0000-0000-000002000000}" name="Zeit_1_s"/>
    <tableColumn id="3" xr3:uid="{00000000-0010-0000-0000-000003000000}" name="Zeit_2_s"/>
    <tableColumn id="4" xr3:uid="{00000000-0010-0000-0000-000004000000}" name="Zeit_3_s"/>
    <tableColumn id="5" xr3:uid="{00000000-0010-0000-0000-000005000000}" name="Zeit_4_s"/>
    <tableColumn id="6" xr3:uid="{00000000-0010-0000-0000-000006000000}" name="Mittelwert_s"/>
    <tableColumn id="7" xr3:uid="{00000000-0010-0000-0000-000007000000}" name="StdAbw_s"/>
    <tableColumn id="8" xr3:uid="{00000000-0010-0000-0000-000008000000}" name="Bestzeit_s"/>
    <tableColumn id="9" xr3:uid="{00000000-0010-0000-0000-000009000000}" name="Schlechtestzeit_s"/>
    <tableColumn id="10" xr3:uid="{00000000-0010-0000-0000-00000A000000}" name="Grund_Geschwindigkeit"/>
    <tableColumn id="11" xr3:uid="{00000000-0010-0000-0000-00000B000000}" name="Min_Motor"/>
    <tableColumn id="12" xr3:uid="{00000000-0010-0000-0000-00000C000000}" name="Max_Motor"/>
    <tableColumn id="13" xr3:uid="{00000000-0010-0000-0000-00000D000000}" name="Losfahr_Geschwindigkeit"/>
    <tableColumn id="14" xr3:uid="{00000000-0010-0000-0000-00000E000000}" name="Korrektur_Gerade"/>
    <tableColumn id="15" xr3:uid="{00000000-0010-0000-0000-00000F000000}" name="Korrektur_Start"/>
    <tableColumn id="16" xr3:uid="{00000000-0010-0000-0000-000010000000}" name="Korrektur_Max"/>
    <tableColumn id="17" xr3:uid="{00000000-0010-0000-0000-000011000000}" name="Korrektur_Anstieg_s"/>
    <tableColumn id="18" xr3:uid="{00000000-0010-0000-0000-000012000000}" name="Gerade_Toleranz"/>
    <tableColumn id="19" xr3:uid="{00000000-0010-0000-0000-000013000000}" name="Regel_Pause"/>
    <tableColumn id="20" xr3:uid="{00000000-0010-0000-0000-000014000000}" name="Korrektur_Fast_Mitte"/>
    <tableColumn id="21" xr3:uid="{00000000-0010-0000-0000-000015000000}" name="Bemerkung"/>
    <tableColumn id="22" xr3:uid="{00000000-0010-0000-0000-000016000000}" name="Hilfswert_Ra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V104"/>
  <sheetViews>
    <sheetView workbookViewId="0">
      <selection activeCell="T5" sqref="T5"/>
    </sheetView>
  </sheetViews>
  <sheetFormatPr baseColWidth="10" defaultColWidth="9" defaultRowHeight="13.5"/>
  <cols>
    <col min="1" max="5" width="10" customWidth="1"/>
    <col min="6" max="8" width="11" customWidth="1"/>
    <col min="9" max="9" width="12" customWidth="1"/>
    <col min="10" max="10" width="22.9375" customWidth="1"/>
    <col min="11" max="12" width="12" customWidth="1"/>
    <col min="13" max="13" width="23.5625" customWidth="1"/>
    <col min="14" max="15" width="16" customWidth="1"/>
    <col min="16" max="16" width="14" customWidth="1"/>
    <col min="17" max="17" width="16" customWidth="1"/>
    <col min="18" max="18" width="14" customWidth="1"/>
    <col min="19" max="19" width="12" customWidth="1"/>
    <col min="20" max="20" width="18" customWidth="1"/>
    <col min="21" max="21" width="32.5625" customWidth="1"/>
    <col min="22" max="22" width="14" customWidth="1"/>
  </cols>
  <sheetData>
    <row r="4" spans="1:22" ht="27.7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</row>
    <row r="5" spans="1:22">
      <c r="A5" s="1" t="s">
        <v>22</v>
      </c>
      <c r="B5" s="4">
        <v>34</v>
      </c>
      <c r="C5" s="4">
        <v>36</v>
      </c>
      <c r="D5" s="4">
        <v>39</v>
      </c>
      <c r="E5" s="4">
        <v>38</v>
      </c>
      <c r="F5" s="5">
        <f t="shared" ref="F5:F36" si="0">IF(COUNT(B5:E5)=0,"",AVERAGE(B5:E5))</f>
        <v>36.75</v>
      </c>
      <c r="G5" s="5">
        <f>IF(COUNT(B5:E5)&lt;2,"",_xlfn.STDEV.S(B5:E5))</f>
        <v>2.2173557826083452</v>
      </c>
      <c r="H5" s="5">
        <f t="shared" ref="H5:H36" si="1">IF(COUNT(B5:E5)=0,"",MIN(B5:E5))</f>
        <v>34</v>
      </c>
      <c r="I5" s="5">
        <f t="shared" ref="I5:I36" si="2">IF(COUNT(B5:E5)=0,"",MAX(B5:E5))</f>
        <v>39</v>
      </c>
      <c r="J5" s="4">
        <v>23</v>
      </c>
      <c r="K5" s="4">
        <v>-15</v>
      </c>
      <c r="L5" s="4">
        <v>35</v>
      </c>
      <c r="M5" s="4">
        <v>20</v>
      </c>
      <c r="N5" s="4">
        <v>4</v>
      </c>
      <c r="O5" s="4">
        <v>12</v>
      </c>
      <c r="P5" s="4">
        <v>35</v>
      </c>
      <c r="Q5" s="4">
        <v>16</v>
      </c>
      <c r="R5" s="4" t="s">
        <v>130</v>
      </c>
      <c r="S5" s="4" t="s">
        <v>131</v>
      </c>
      <c r="T5" s="4">
        <v>5</v>
      </c>
      <c r="U5" s="3"/>
      <c r="V5" s="5">
        <f t="shared" ref="V5:V36" si="3">IF(F5="","",F5+ROW()/100000)</f>
        <v>36.750050000000002</v>
      </c>
    </row>
    <row r="6" spans="1:22">
      <c r="A6" s="1" t="s">
        <v>23</v>
      </c>
      <c r="B6" s="4">
        <v>35</v>
      </c>
      <c r="C6" s="4">
        <v>36</v>
      </c>
      <c r="D6" s="4">
        <v>35.5</v>
      </c>
      <c r="E6" s="4">
        <v>35.700000000000003</v>
      </c>
      <c r="F6" s="5">
        <f t="shared" si="0"/>
        <v>35.549999999999997</v>
      </c>
      <c r="G6" s="5">
        <f>IF(COUNT(B6:E6)&lt;2,"",_xlfn.STDEV.S(B6:E6))</f>
        <v>0.42031734043061675</v>
      </c>
      <c r="H6" s="5">
        <f t="shared" si="1"/>
        <v>35</v>
      </c>
      <c r="I6" s="5">
        <f t="shared" si="2"/>
        <v>36</v>
      </c>
      <c r="J6" s="4">
        <v>24</v>
      </c>
      <c r="K6" s="4">
        <v>-22</v>
      </c>
      <c r="L6" s="4">
        <v>40</v>
      </c>
      <c r="M6" s="4">
        <v>20</v>
      </c>
      <c r="N6" s="4">
        <v>10</v>
      </c>
      <c r="O6" s="4">
        <v>12</v>
      </c>
      <c r="P6" s="4">
        <v>35</v>
      </c>
      <c r="Q6" s="4">
        <v>10</v>
      </c>
      <c r="R6" s="4" t="s">
        <v>132</v>
      </c>
      <c r="S6" s="4" t="s">
        <v>131</v>
      </c>
      <c r="T6" s="4">
        <v>10</v>
      </c>
      <c r="U6" s="3" t="s">
        <v>133</v>
      </c>
      <c r="V6" s="5">
        <f t="shared" si="3"/>
        <v>35.550059999999995</v>
      </c>
    </row>
    <row r="7" spans="1:22">
      <c r="A7" s="1" t="s">
        <v>24</v>
      </c>
      <c r="B7" s="4">
        <v>37</v>
      </c>
      <c r="C7" s="4">
        <v>38</v>
      </c>
      <c r="D7" s="4">
        <v>37.1</v>
      </c>
      <c r="E7" s="4">
        <v>39</v>
      </c>
      <c r="F7" s="5">
        <f t="shared" si="0"/>
        <v>37.774999999999999</v>
      </c>
      <c r="G7" s="5">
        <f t="shared" ref="G7:G30" si="4">IF(COUNT(B7:E7)&lt;2,"",_xlfn.STDEV.S(B7:E7))</f>
        <v>0.93229108472979949</v>
      </c>
      <c r="H7" s="5">
        <f t="shared" si="1"/>
        <v>37</v>
      </c>
      <c r="I7" s="5">
        <f t="shared" si="2"/>
        <v>39</v>
      </c>
      <c r="J7" s="4">
        <v>24</v>
      </c>
      <c r="K7" s="4">
        <v>-22</v>
      </c>
      <c r="L7" s="4">
        <v>40</v>
      </c>
      <c r="M7" s="4">
        <v>20</v>
      </c>
      <c r="N7" s="4">
        <v>10</v>
      </c>
      <c r="O7" s="4">
        <v>12</v>
      </c>
      <c r="P7" s="4">
        <v>35</v>
      </c>
      <c r="Q7" s="4">
        <v>10</v>
      </c>
      <c r="R7" s="4" t="s">
        <v>134</v>
      </c>
      <c r="S7" s="4" t="s">
        <v>131</v>
      </c>
      <c r="T7" s="4">
        <v>10</v>
      </c>
      <c r="U7" s="3" t="s">
        <v>139</v>
      </c>
      <c r="V7" s="5">
        <f t="shared" si="3"/>
        <v>37.775069999999999</v>
      </c>
    </row>
    <row r="8" spans="1:22">
      <c r="A8" s="1" t="s">
        <v>25</v>
      </c>
      <c r="B8" s="4">
        <v>32.1</v>
      </c>
      <c r="C8" s="4">
        <v>33</v>
      </c>
      <c r="D8" s="4">
        <v>32.4</v>
      </c>
      <c r="E8" s="4">
        <v>32</v>
      </c>
      <c r="F8" s="5">
        <f t="shared" si="0"/>
        <v>32.375</v>
      </c>
      <c r="G8" s="5">
        <f t="shared" si="4"/>
        <v>0.44999999999999968</v>
      </c>
      <c r="H8" s="5">
        <f t="shared" si="1"/>
        <v>32</v>
      </c>
      <c r="I8" s="5">
        <f t="shared" si="2"/>
        <v>33</v>
      </c>
      <c r="J8" s="4">
        <v>30</v>
      </c>
      <c r="K8" s="4">
        <v>-22</v>
      </c>
      <c r="L8" s="4">
        <v>40</v>
      </c>
      <c r="M8" s="4">
        <v>20</v>
      </c>
      <c r="N8" s="4">
        <v>10</v>
      </c>
      <c r="O8" s="4">
        <v>12</v>
      </c>
      <c r="P8" s="4">
        <v>35</v>
      </c>
      <c r="Q8" s="4">
        <v>10</v>
      </c>
      <c r="R8" s="4" t="s">
        <v>134</v>
      </c>
      <c r="S8" s="4" t="s">
        <v>131</v>
      </c>
      <c r="T8" s="4">
        <v>10</v>
      </c>
      <c r="U8" s="3"/>
      <c r="V8" s="5">
        <f t="shared" si="3"/>
        <v>32.375079999999997</v>
      </c>
    </row>
    <row r="9" spans="1:22">
      <c r="A9" s="1" t="s">
        <v>26</v>
      </c>
      <c r="B9" s="4">
        <v>32.799999999999997</v>
      </c>
      <c r="C9" s="4">
        <v>31.6</v>
      </c>
      <c r="D9" s="4"/>
      <c r="E9" s="4"/>
      <c r="F9" s="5">
        <f t="shared" si="0"/>
        <v>32.200000000000003</v>
      </c>
      <c r="G9" s="5">
        <f t="shared" si="4"/>
        <v>0.84852813742385402</v>
      </c>
      <c r="H9" s="5">
        <f t="shared" si="1"/>
        <v>31.6</v>
      </c>
      <c r="I9" s="5">
        <f t="shared" si="2"/>
        <v>32.799999999999997</v>
      </c>
      <c r="J9" s="4">
        <v>30</v>
      </c>
      <c r="K9" s="4">
        <v>-22</v>
      </c>
      <c r="L9" s="4">
        <v>40</v>
      </c>
      <c r="M9" s="4">
        <v>20</v>
      </c>
      <c r="N9" s="4">
        <v>10</v>
      </c>
      <c r="O9" s="4">
        <v>8</v>
      </c>
      <c r="P9" s="4">
        <v>35</v>
      </c>
      <c r="Q9" s="4">
        <v>12</v>
      </c>
      <c r="R9" s="4" t="s">
        <v>134</v>
      </c>
      <c r="S9" s="4" t="s">
        <v>131</v>
      </c>
      <c r="T9" s="4">
        <v>5</v>
      </c>
      <c r="U9" s="3" t="s">
        <v>135</v>
      </c>
      <c r="V9" s="5">
        <f t="shared" si="3"/>
        <v>32.200090000000003</v>
      </c>
    </row>
    <row r="10" spans="1:22" ht="27">
      <c r="A10" s="1" t="s">
        <v>27</v>
      </c>
      <c r="B10" s="4" t="s">
        <v>137</v>
      </c>
      <c r="C10" s="4"/>
      <c r="D10" s="4"/>
      <c r="E10" s="4"/>
      <c r="F10" s="5" t="str">
        <f t="shared" si="0"/>
        <v/>
      </c>
      <c r="G10" s="5" t="str">
        <f t="shared" si="4"/>
        <v/>
      </c>
      <c r="H10" s="5" t="str">
        <f t="shared" si="1"/>
        <v/>
      </c>
      <c r="I10" s="5" t="str">
        <f t="shared" si="2"/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136</v>
      </c>
      <c r="U10" s="3" t="s">
        <v>138</v>
      </c>
      <c r="V10" s="5" t="str">
        <f t="shared" si="3"/>
        <v/>
      </c>
    </row>
    <row r="11" spans="1:22" ht="54">
      <c r="A11" s="1" t="s">
        <v>28</v>
      </c>
      <c r="B11" s="4">
        <v>29.8</v>
      </c>
      <c r="C11" s="4">
        <v>31</v>
      </c>
      <c r="D11" s="4">
        <v>31</v>
      </c>
      <c r="E11" s="4">
        <v>29</v>
      </c>
      <c r="F11" s="5">
        <f t="shared" si="0"/>
        <v>30.2</v>
      </c>
      <c r="G11" s="5">
        <f t="shared" si="4"/>
        <v>0.9797958971132712</v>
      </c>
      <c r="H11" s="5">
        <f t="shared" si="1"/>
        <v>29</v>
      </c>
      <c r="I11" s="5">
        <f t="shared" si="2"/>
        <v>31</v>
      </c>
      <c r="J11" s="4">
        <v>30</v>
      </c>
      <c r="K11" s="4">
        <v>-25</v>
      </c>
      <c r="L11" s="4">
        <v>45</v>
      </c>
      <c r="M11" s="4" t="s">
        <v>143</v>
      </c>
      <c r="N11" s="4">
        <v>10</v>
      </c>
      <c r="O11" s="4">
        <v>8</v>
      </c>
      <c r="P11" s="4">
        <v>35</v>
      </c>
      <c r="Q11" s="4">
        <v>12</v>
      </c>
      <c r="R11" s="4" t="s">
        <v>140</v>
      </c>
      <c r="S11" s="4" t="s">
        <v>141</v>
      </c>
      <c r="T11" s="4">
        <v>8</v>
      </c>
      <c r="U11" s="3" t="s">
        <v>142</v>
      </c>
      <c r="V11" s="5">
        <f t="shared" si="3"/>
        <v>30.200109999999999</v>
      </c>
    </row>
    <row r="12" spans="1:22">
      <c r="A12" s="1" t="s">
        <v>29</v>
      </c>
      <c r="B12" s="4">
        <v>31</v>
      </c>
      <c r="C12" s="4">
        <v>30.9</v>
      </c>
      <c r="D12" s="4">
        <v>30</v>
      </c>
      <c r="E12" s="4">
        <v>31.4</v>
      </c>
      <c r="F12" s="5">
        <f t="shared" si="0"/>
        <v>30.825000000000003</v>
      </c>
      <c r="G12" s="5">
        <f t="shared" si="4"/>
        <v>0.59090326337452737</v>
      </c>
      <c r="H12" s="5">
        <f t="shared" si="1"/>
        <v>30</v>
      </c>
      <c r="I12" s="5">
        <f t="shared" si="2"/>
        <v>31.4</v>
      </c>
      <c r="J12" s="4">
        <v>30</v>
      </c>
      <c r="K12" s="4">
        <v>-25</v>
      </c>
      <c r="L12" s="4">
        <v>45</v>
      </c>
      <c r="M12" s="4" t="s">
        <v>143</v>
      </c>
      <c r="N12" s="4">
        <v>8</v>
      </c>
      <c r="O12" s="4">
        <v>5</v>
      </c>
      <c r="P12" s="4">
        <v>35</v>
      </c>
      <c r="Q12" s="4">
        <v>12</v>
      </c>
      <c r="R12" s="4" t="s">
        <v>140</v>
      </c>
      <c r="S12" s="4" t="s">
        <v>141</v>
      </c>
      <c r="T12" s="4">
        <v>8</v>
      </c>
      <c r="U12" s="3"/>
      <c r="V12" s="5">
        <f t="shared" si="3"/>
        <v>30.825120000000002</v>
      </c>
    </row>
    <row r="13" spans="1:22">
      <c r="A13" s="1" t="s">
        <v>30</v>
      </c>
      <c r="B13" s="4">
        <v>27</v>
      </c>
      <c r="C13" s="4">
        <v>27.4</v>
      </c>
      <c r="D13" s="4">
        <v>27.1</v>
      </c>
      <c r="E13" s="4">
        <v>27.3</v>
      </c>
      <c r="F13" s="5">
        <f t="shared" si="0"/>
        <v>27.2</v>
      </c>
      <c r="G13" s="5">
        <f t="shared" si="4"/>
        <v>0.18257418583505472</v>
      </c>
      <c r="H13" s="5">
        <f t="shared" si="1"/>
        <v>27</v>
      </c>
      <c r="I13" s="5">
        <f t="shared" si="2"/>
        <v>27.4</v>
      </c>
      <c r="J13" s="4">
        <v>35</v>
      </c>
      <c r="K13" s="4">
        <v>-25</v>
      </c>
      <c r="L13" s="4">
        <v>45</v>
      </c>
      <c r="M13" s="4" t="s">
        <v>143</v>
      </c>
      <c r="N13" s="4">
        <v>8</v>
      </c>
      <c r="O13" s="4">
        <v>5</v>
      </c>
      <c r="P13" s="4">
        <v>35</v>
      </c>
      <c r="Q13" s="4">
        <v>12</v>
      </c>
      <c r="R13" s="4" t="s">
        <v>144</v>
      </c>
      <c r="S13" s="4" t="s">
        <v>141</v>
      </c>
      <c r="T13" s="4">
        <v>8</v>
      </c>
      <c r="U13" s="3"/>
      <c r="V13" s="5">
        <f t="shared" si="3"/>
        <v>27.200129999999998</v>
      </c>
    </row>
    <row r="14" spans="1:22">
      <c r="A14" s="1" t="s">
        <v>31</v>
      </c>
      <c r="B14" s="4">
        <v>28</v>
      </c>
      <c r="C14" s="4">
        <v>29</v>
      </c>
      <c r="D14" s="4">
        <v>27</v>
      </c>
      <c r="E14" s="4">
        <v>28.3</v>
      </c>
      <c r="F14" s="5">
        <f t="shared" si="0"/>
        <v>28.074999999999999</v>
      </c>
      <c r="G14" s="5">
        <f t="shared" si="4"/>
        <v>0.83016062702748483</v>
      </c>
      <c r="H14" s="5">
        <f t="shared" si="1"/>
        <v>27</v>
      </c>
      <c r="I14" s="5">
        <f t="shared" si="2"/>
        <v>29</v>
      </c>
      <c r="J14" s="4">
        <v>37</v>
      </c>
      <c r="K14" s="4">
        <v>-25</v>
      </c>
      <c r="L14" s="4">
        <v>42</v>
      </c>
      <c r="M14" s="4" t="s">
        <v>143</v>
      </c>
      <c r="N14" s="4">
        <v>8</v>
      </c>
      <c r="O14" s="4">
        <v>5</v>
      </c>
      <c r="P14" s="4">
        <v>35</v>
      </c>
      <c r="Q14" s="4">
        <v>12</v>
      </c>
      <c r="R14" s="4" t="s">
        <v>145</v>
      </c>
      <c r="S14" s="4" t="s">
        <v>141</v>
      </c>
      <c r="T14" s="4">
        <v>8</v>
      </c>
      <c r="U14" s="3"/>
      <c r="V14" s="5">
        <f t="shared" si="3"/>
        <v>28.075139999999998</v>
      </c>
    </row>
    <row r="15" spans="1:22">
      <c r="A15" s="1" t="s">
        <v>32</v>
      </c>
      <c r="B15" s="4">
        <v>27</v>
      </c>
      <c r="C15" s="4">
        <v>29</v>
      </c>
      <c r="D15" s="4">
        <v>30.5</v>
      </c>
      <c r="E15" s="4">
        <v>27</v>
      </c>
      <c r="F15" s="5">
        <f t="shared" si="0"/>
        <v>28.375</v>
      </c>
      <c r="G15" s="5">
        <f t="shared" si="4"/>
        <v>1.7017148213885114</v>
      </c>
      <c r="H15" s="5">
        <f t="shared" si="1"/>
        <v>27</v>
      </c>
      <c r="I15" s="5">
        <f t="shared" si="2"/>
        <v>30.5</v>
      </c>
      <c r="J15" s="4">
        <v>37</v>
      </c>
      <c r="K15" s="4">
        <v>-25</v>
      </c>
      <c r="L15" s="4">
        <v>42</v>
      </c>
      <c r="M15" s="4" t="s">
        <v>143</v>
      </c>
      <c r="N15" s="4">
        <v>8</v>
      </c>
      <c r="O15" s="4">
        <v>5</v>
      </c>
      <c r="P15" s="4">
        <v>35</v>
      </c>
      <c r="Q15" s="4">
        <v>12</v>
      </c>
      <c r="R15" s="4" t="s">
        <v>145</v>
      </c>
      <c r="S15" s="4" t="s">
        <v>146</v>
      </c>
      <c r="T15" s="4">
        <v>8</v>
      </c>
      <c r="U15" s="3" t="s">
        <v>147</v>
      </c>
      <c r="V15" s="5">
        <f t="shared" si="3"/>
        <v>28.375150000000001</v>
      </c>
    </row>
    <row r="16" spans="1:22" ht="27">
      <c r="A16" s="1" t="s">
        <v>33</v>
      </c>
      <c r="B16" s="4">
        <v>28.6</v>
      </c>
      <c r="C16" s="4">
        <v>29</v>
      </c>
      <c r="D16" s="4">
        <v>29.1</v>
      </c>
      <c r="E16" s="4">
        <v>31</v>
      </c>
      <c r="F16" s="5">
        <f t="shared" si="0"/>
        <v>29.425000000000001</v>
      </c>
      <c r="G16" s="5">
        <f t="shared" si="4"/>
        <v>1.0719919153923996</v>
      </c>
      <c r="H16" s="5">
        <f t="shared" si="1"/>
        <v>28.6</v>
      </c>
      <c r="I16" s="5">
        <f t="shared" si="2"/>
        <v>31</v>
      </c>
      <c r="J16" s="4">
        <v>35</v>
      </c>
      <c r="K16" s="4">
        <v>-25</v>
      </c>
      <c r="L16" s="4">
        <v>45</v>
      </c>
      <c r="M16" s="4" t="s">
        <v>143</v>
      </c>
      <c r="N16" s="4">
        <v>8</v>
      </c>
      <c r="O16" s="4">
        <v>5</v>
      </c>
      <c r="P16" s="4">
        <v>35</v>
      </c>
      <c r="Q16" s="4">
        <v>12</v>
      </c>
      <c r="R16" s="4" t="s">
        <v>145</v>
      </c>
      <c r="S16" s="4" t="s">
        <v>134</v>
      </c>
      <c r="T16" s="4">
        <v>8</v>
      </c>
      <c r="U16" s="3" t="s">
        <v>148</v>
      </c>
      <c r="V16" s="5">
        <f t="shared" si="3"/>
        <v>29.425160000000002</v>
      </c>
    </row>
    <row r="17" spans="1:22">
      <c r="A17" s="1" t="s">
        <v>34</v>
      </c>
      <c r="B17" s="4">
        <v>28</v>
      </c>
      <c r="C17" s="4">
        <v>26.6</v>
      </c>
      <c r="D17" s="4">
        <v>28.4</v>
      </c>
      <c r="E17" s="4">
        <v>29.1</v>
      </c>
      <c r="F17" s="5">
        <f t="shared" si="0"/>
        <v>28.024999999999999</v>
      </c>
      <c r="G17" s="5">
        <f t="shared" si="4"/>
        <v>1.0531698185319716</v>
      </c>
      <c r="H17" s="5">
        <f t="shared" si="1"/>
        <v>26.6</v>
      </c>
      <c r="I17" s="5">
        <f t="shared" si="2"/>
        <v>29.1</v>
      </c>
      <c r="J17" s="4">
        <v>35</v>
      </c>
      <c r="K17" s="4">
        <v>-25</v>
      </c>
      <c r="L17" s="4">
        <v>45</v>
      </c>
      <c r="M17" s="4" t="s">
        <v>143</v>
      </c>
      <c r="N17" s="4">
        <v>8</v>
      </c>
      <c r="O17" s="4">
        <v>5</v>
      </c>
      <c r="P17" s="4">
        <v>35</v>
      </c>
      <c r="Q17" s="4">
        <v>12</v>
      </c>
      <c r="R17" s="4" t="s">
        <v>144</v>
      </c>
      <c r="S17" s="4" t="s">
        <v>149</v>
      </c>
      <c r="T17" s="4">
        <v>8</v>
      </c>
      <c r="U17" s="3" t="s">
        <v>151</v>
      </c>
      <c r="V17" s="5">
        <f t="shared" si="3"/>
        <v>28.025169999999999</v>
      </c>
    </row>
    <row r="18" spans="1:22" ht="40.5">
      <c r="A18" s="1" t="s">
        <v>35</v>
      </c>
      <c r="B18" s="4">
        <v>26.4</v>
      </c>
      <c r="C18" s="4">
        <v>28</v>
      </c>
      <c r="D18" s="4">
        <v>27.3</v>
      </c>
      <c r="E18" s="4">
        <v>27.1</v>
      </c>
      <c r="F18" s="5">
        <f t="shared" si="0"/>
        <v>27.200000000000003</v>
      </c>
      <c r="G18" s="5">
        <f t="shared" si="4"/>
        <v>0.65828058860438377</v>
      </c>
      <c r="H18" s="5">
        <f t="shared" si="1"/>
        <v>26.4</v>
      </c>
      <c r="I18" s="5">
        <f t="shared" si="2"/>
        <v>28</v>
      </c>
      <c r="J18" s="4">
        <v>35</v>
      </c>
      <c r="K18" s="4">
        <v>-25</v>
      </c>
      <c r="L18" s="4">
        <v>45</v>
      </c>
      <c r="M18" s="4" t="s">
        <v>143</v>
      </c>
      <c r="N18" s="4">
        <v>8</v>
      </c>
      <c r="O18" s="4">
        <v>5</v>
      </c>
      <c r="P18" s="4">
        <v>35</v>
      </c>
      <c r="Q18" s="4">
        <v>12</v>
      </c>
      <c r="R18" s="4" t="s">
        <v>144</v>
      </c>
      <c r="S18" s="4" t="s">
        <v>150</v>
      </c>
      <c r="T18" s="4">
        <v>8</v>
      </c>
      <c r="U18" s="3" t="s">
        <v>152</v>
      </c>
      <c r="V18" s="5">
        <f t="shared" si="3"/>
        <v>27.200180000000003</v>
      </c>
    </row>
    <row r="19" spans="1:22">
      <c r="A19" s="1" t="s">
        <v>36</v>
      </c>
      <c r="B19" s="4"/>
      <c r="C19" s="4"/>
      <c r="D19" s="4"/>
      <c r="E19" s="4"/>
      <c r="F19" s="5" t="str">
        <f t="shared" si="0"/>
        <v/>
      </c>
      <c r="G19" s="5" t="str">
        <f t="shared" si="4"/>
        <v/>
      </c>
      <c r="H19" s="5" t="str">
        <f t="shared" si="1"/>
        <v/>
      </c>
      <c r="I19" s="5" t="str">
        <f t="shared" si="2"/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5" t="str">
        <f t="shared" si="3"/>
        <v/>
      </c>
    </row>
    <row r="20" spans="1:22">
      <c r="A20" s="1" t="s">
        <v>37</v>
      </c>
      <c r="B20" s="4"/>
      <c r="C20" s="4"/>
      <c r="D20" s="4"/>
      <c r="E20" s="4"/>
      <c r="F20" s="5" t="str">
        <f t="shared" si="0"/>
        <v/>
      </c>
      <c r="G20" s="5" t="str">
        <f t="shared" si="4"/>
        <v/>
      </c>
      <c r="H20" s="5" t="str">
        <f t="shared" si="1"/>
        <v/>
      </c>
      <c r="I20" s="5" t="str">
        <f t="shared" si="2"/>
        <v/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5" t="str">
        <f t="shared" si="3"/>
        <v/>
      </c>
    </row>
    <row r="21" spans="1:22">
      <c r="A21" s="1" t="s">
        <v>38</v>
      </c>
      <c r="B21" s="4"/>
      <c r="C21" s="4"/>
      <c r="D21" s="4"/>
      <c r="E21" s="4"/>
      <c r="F21" s="5" t="str">
        <f t="shared" si="0"/>
        <v/>
      </c>
      <c r="G21" s="5" t="str">
        <f t="shared" si="4"/>
        <v/>
      </c>
      <c r="H21" s="5" t="str">
        <f t="shared" si="1"/>
        <v/>
      </c>
      <c r="I21" s="5" t="str">
        <f t="shared" si="2"/>
        <v/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5" t="str">
        <f t="shared" si="3"/>
        <v/>
      </c>
    </row>
    <row r="22" spans="1:22">
      <c r="A22" s="1" t="s">
        <v>39</v>
      </c>
      <c r="B22" s="4"/>
      <c r="C22" s="4"/>
      <c r="D22" s="4"/>
      <c r="E22" s="4"/>
      <c r="F22" s="5" t="str">
        <f t="shared" si="0"/>
        <v/>
      </c>
      <c r="G22" s="5" t="str">
        <f t="shared" si="4"/>
        <v/>
      </c>
      <c r="H22" s="5" t="str">
        <f t="shared" si="1"/>
        <v/>
      </c>
      <c r="I22" s="5" t="str">
        <f t="shared" si="2"/>
        <v/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5" t="str">
        <f t="shared" si="3"/>
        <v/>
      </c>
    </row>
    <row r="23" spans="1:22">
      <c r="A23" s="1" t="s">
        <v>40</v>
      </c>
      <c r="B23" s="4"/>
      <c r="C23" s="4"/>
      <c r="D23" s="4"/>
      <c r="E23" s="4"/>
      <c r="F23" s="5" t="str">
        <f t="shared" si="0"/>
        <v/>
      </c>
      <c r="G23" s="5" t="str">
        <f t="shared" si="4"/>
        <v/>
      </c>
      <c r="H23" s="5" t="str">
        <f t="shared" si="1"/>
        <v/>
      </c>
      <c r="I23" s="5" t="str">
        <f t="shared" si="2"/>
        <v/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5" t="str">
        <f t="shared" si="3"/>
        <v/>
      </c>
    </row>
    <row r="24" spans="1:22">
      <c r="A24" s="1" t="s">
        <v>41</v>
      </c>
      <c r="B24" s="4"/>
      <c r="C24" s="4"/>
      <c r="D24" s="4"/>
      <c r="E24" s="4"/>
      <c r="F24" s="5" t="str">
        <f t="shared" si="0"/>
        <v/>
      </c>
      <c r="G24" s="5" t="str">
        <f t="shared" si="4"/>
        <v/>
      </c>
      <c r="H24" s="5" t="str">
        <f t="shared" si="1"/>
        <v/>
      </c>
      <c r="I24" s="5" t="str">
        <f t="shared" si="2"/>
        <v/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5" t="str">
        <f t="shared" si="3"/>
        <v/>
      </c>
    </row>
    <row r="25" spans="1:22">
      <c r="A25" s="1" t="s">
        <v>42</v>
      </c>
      <c r="B25" s="4"/>
      <c r="C25" s="4"/>
      <c r="D25" s="4"/>
      <c r="E25" s="4"/>
      <c r="F25" s="5" t="str">
        <f t="shared" si="0"/>
        <v/>
      </c>
      <c r="G25" s="5" t="str">
        <f t="shared" si="4"/>
        <v/>
      </c>
      <c r="H25" s="5" t="str">
        <f t="shared" si="1"/>
        <v/>
      </c>
      <c r="I25" s="5" t="str">
        <f t="shared" si="2"/>
        <v/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5" t="str">
        <f t="shared" si="3"/>
        <v/>
      </c>
    </row>
    <row r="26" spans="1:22">
      <c r="A26" s="1" t="s">
        <v>43</v>
      </c>
      <c r="B26" s="4"/>
      <c r="C26" s="4"/>
      <c r="D26" s="4"/>
      <c r="E26" s="4"/>
      <c r="F26" s="5" t="str">
        <f t="shared" si="0"/>
        <v/>
      </c>
      <c r="G26" s="5" t="str">
        <f t="shared" si="4"/>
        <v/>
      </c>
      <c r="H26" s="5" t="str">
        <f t="shared" si="1"/>
        <v/>
      </c>
      <c r="I26" s="5" t="str">
        <f t="shared" si="2"/>
        <v/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5" t="str">
        <f t="shared" si="3"/>
        <v/>
      </c>
    </row>
    <row r="27" spans="1:22">
      <c r="A27" s="1" t="s">
        <v>44</v>
      </c>
      <c r="B27" s="4"/>
      <c r="C27" s="4"/>
      <c r="D27" s="4"/>
      <c r="E27" s="4"/>
      <c r="F27" s="5" t="str">
        <f t="shared" si="0"/>
        <v/>
      </c>
      <c r="G27" s="5" t="str">
        <f t="shared" si="4"/>
        <v/>
      </c>
      <c r="H27" s="5" t="str">
        <f t="shared" si="1"/>
        <v/>
      </c>
      <c r="I27" s="5" t="str">
        <f t="shared" si="2"/>
        <v/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5" t="str">
        <f t="shared" si="3"/>
        <v/>
      </c>
    </row>
    <row r="28" spans="1:22">
      <c r="A28" s="1" t="s">
        <v>45</v>
      </c>
      <c r="B28" s="4"/>
      <c r="C28" s="4"/>
      <c r="D28" s="4"/>
      <c r="E28" s="4"/>
      <c r="F28" s="5" t="str">
        <f t="shared" si="0"/>
        <v/>
      </c>
      <c r="G28" s="5" t="str">
        <f t="shared" si="4"/>
        <v/>
      </c>
      <c r="H28" s="5" t="str">
        <f t="shared" si="1"/>
        <v/>
      </c>
      <c r="I28" s="5" t="str">
        <f t="shared" si="2"/>
        <v/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5" t="str">
        <f t="shared" si="3"/>
        <v/>
      </c>
    </row>
    <row r="29" spans="1:22">
      <c r="A29" s="1" t="s">
        <v>46</v>
      </c>
      <c r="B29" s="4"/>
      <c r="C29" s="4"/>
      <c r="D29" s="4"/>
      <c r="E29" s="4"/>
      <c r="F29" s="5" t="str">
        <f t="shared" si="0"/>
        <v/>
      </c>
      <c r="G29" s="5" t="str">
        <f t="shared" si="4"/>
        <v/>
      </c>
      <c r="H29" s="5" t="str">
        <f t="shared" si="1"/>
        <v/>
      </c>
      <c r="I29" s="5" t="str">
        <f t="shared" si="2"/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5" t="str">
        <f t="shared" si="3"/>
        <v/>
      </c>
    </row>
    <row r="30" spans="1:22">
      <c r="A30" s="1" t="s">
        <v>47</v>
      </c>
      <c r="B30" s="4"/>
      <c r="C30" s="4"/>
      <c r="D30" s="4"/>
      <c r="E30" s="4"/>
      <c r="F30" s="5" t="str">
        <f t="shared" si="0"/>
        <v/>
      </c>
      <c r="G30" s="5" t="str">
        <f t="shared" si="4"/>
        <v/>
      </c>
      <c r="H30" s="5" t="str">
        <f t="shared" si="1"/>
        <v/>
      </c>
      <c r="I30" s="5" t="str">
        <f t="shared" si="2"/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5" t="str">
        <f t="shared" si="3"/>
        <v/>
      </c>
    </row>
    <row r="31" spans="1:22">
      <c r="A31" s="1" t="s">
        <v>48</v>
      </c>
      <c r="B31" s="4"/>
      <c r="C31" s="4"/>
      <c r="D31" s="4"/>
      <c r="E31" s="4"/>
      <c r="F31" s="5" t="str">
        <f t="shared" si="0"/>
        <v/>
      </c>
      <c r="G31" s="5" t="str">
        <f>IF(COUNT(B31:E31)&lt;2,"",_xludf.STDEV.S(B31:E31))</f>
        <v/>
      </c>
      <c r="H31" s="5" t="str">
        <f t="shared" si="1"/>
        <v/>
      </c>
      <c r="I31" s="5" t="str">
        <f t="shared" si="2"/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5" t="str">
        <f t="shared" si="3"/>
        <v/>
      </c>
    </row>
    <row r="32" spans="1:22">
      <c r="A32" s="1" t="s">
        <v>49</v>
      </c>
      <c r="B32" s="4"/>
      <c r="C32" s="4"/>
      <c r="D32" s="4"/>
      <c r="E32" s="4"/>
      <c r="F32" s="5" t="str">
        <f t="shared" si="0"/>
        <v/>
      </c>
      <c r="G32" s="5" t="str">
        <f>IF(COUNT(B32:E32)&lt;2,"",_xludf.STDEV.S(B32:E32))</f>
        <v/>
      </c>
      <c r="H32" s="5" t="str">
        <f t="shared" si="1"/>
        <v/>
      </c>
      <c r="I32" s="5" t="str">
        <f t="shared" si="2"/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5" t="str">
        <f t="shared" si="3"/>
        <v/>
      </c>
    </row>
    <row r="33" spans="1:22">
      <c r="A33" s="1" t="s">
        <v>50</v>
      </c>
      <c r="B33" s="4"/>
      <c r="C33" s="4"/>
      <c r="D33" s="4"/>
      <c r="E33" s="4"/>
      <c r="F33" s="5" t="str">
        <f t="shared" si="0"/>
        <v/>
      </c>
      <c r="G33" s="5" t="str">
        <f>IF(COUNT(B33:E33)&lt;2,"",_xludf.STDEV.S(B33:E33))</f>
        <v/>
      </c>
      <c r="H33" s="5" t="str">
        <f t="shared" si="1"/>
        <v/>
      </c>
      <c r="I33" s="5" t="str">
        <f t="shared" si="2"/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5" t="str">
        <f t="shared" si="3"/>
        <v/>
      </c>
    </row>
    <row r="34" spans="1:22">
      <c r="A34" s="1" t="s">
        <v>51</v>
      </c>
      <c r="B34" s="4"/>
      <c r="C34" s="4"/>
      <c r="D34" s="4"/>
      <c r="E34" s="4"/>
      <c r="F34" s="5" t="str">
        <f t="shared" si="0"/>
        <v/>
      </c>
      <c r="G34" s="5" t="str">
        <f>IF(COUNT(B34:E34)&lt;2,"",_xludf.STDEV.S(B34:E34))</f>
        <v/>
      </c>
      <c r="H34" s="5" t="str">
        <f t="shared" si="1"/>
        <v/>
      </c>
      <c r="I34" s="5" t="str">
        <f t="shared" si="2"/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5" t="str">
        <f t="shared" si="3"/>
        <v/>
      </c>
    </row>
    <row r="35" spans="1:22">
      <c r="A35" s="1" t="s">
        <v>52</v>
      </c>
      <c r="B35" s="4"/>
      <c r="C35" s="4"/>
      <c r="D35" s="4"/>
      <c r="E35" s="4"/>
      <c r="F35" s="5" t="str">
        <f t="shared" si="0"/>
        <v/>
      </c>
      <c r="G35" s="5" t="str">
        <f>IF(COUNT(B35:E35)&lt;2,"",_xludf.STDEV.S(B35:E35))</f>
        <v/>
      </c>
      <c r="H35" s="5" t="str">
        <f t="shared" si="1"/>
        <v/>
      </c>
      <c r="I35" s="5" t="str">
        <f t="shared" si="2"/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5" t="str">
        <f t="shared" si="3"/>
        <v/>
      </c>
    </row>
    <row r="36" spans="1:22">
      <c r="A36" s="1" t="s">
        <v>53</v>
      </c>
      <c r="B36" s="4"/>
      <c r="C36" s="4"/>
      <c r="D36" s="4"/>
      <c r="E36" s="4"/>
      <c r="F36" s="5" t="str">
        <f t="shared" si="0"/>
        <v/>
      </c>
      <c r="G36" s="5" t="str">
        <f>IF(COUNT(B36:E36)&lt;2,"",_xludf.STDEV.S(B36:E36))</f>
        <v/>
      </c>
      <c r="H36" s="5" t="str">
        <f t="shared" si="1"/>
        <v/>
      </c>
      <c r="I36" s="5" t="str">
        <f t="shared" si="2"/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5" t="str">
        <f t="shared" si="3"/>
        <v/>
      </c>
    </row>
    <row r="37" spans="1:22">
      <c r="A37" s="1" t="s">
        <v>54</v>
      </c>
      <c r="B37" s="4"/>
      <c r="C37" s="4"/>
      <c r="D37" s="4"/>
      <c r="E37" s="4"/>
      <c r="F37" s="5" t="str">
        <f t="shared" ref="F37:F68" si="5">IF(COUNT(B37:E37)=0,"",AVERAGE(B37:E37))</f>
        <v/>
      </c>
      <c r="G37" s="5" t="str">
        <f>IF(COUNT(B37:E37)&lt;2,"",_xludf.STDEV.S(B37:E37))</f>
        <v/>
      </c>
      <c r="H37" s="5" t="str">
        <f t="shared" ref="H37:H68" si="6">IF(COUNT(B37:E37)=0,"",MIN(B37:E37))</f>
        <v/>
      </c>
      <c r="I37" s="5" t="str">
        <f t="shared" ref="I37:I68" si="7">IF(COUNT(B37:E37)=0,"",MAX(B37:E37))</f>
        <v/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5" t="str">
        <f t="shared" ref="V37:V68" si="8">IF(F37="","",F37+ROW()/100000)</f>
        <v/>
      </c>
    </row>
    <row r="38" spans="1:22">
      <c r="A38" s="1" t="s">
        <v>55</v>
      </c>
      <c r="B38" s="4"/>
      <c r="C38" s="4"/>
      <c r="D38" s="4"/>
      <c r="E38" s="4"/>
      <c r="F38" s="5" t="str">
        <f t="shared" si="5"/>
        <v/>
      </c>
      <c r="G38" s="5" t="str">
        <f>IF(COUNT(B38:E38)&lt;2,"",_xludf.STDEV.S(B38:E38))</f>
        <v/>
      </c>
      <c r="H38" s="5" t="str">
        <f t="shared" si="6"/>
        <v/>
      </c>
      <c r="I38" s="5" t="str">
        <f t="shared" si="7"/>
        <v/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5" t="str">
        <f t="shared" si="8"/>
        <v/>
      </c>
    </row>
    <row r="39" spans="1:22">
      <c r="A39" s="1" t="s">
        <v>56</v>
      </c>
      <c r="B39" s="4"/>
      <c r="C39" s="4"/>
      <c r="D39" s="4"/>
      <c r="E39" s="4"/>
      <c r="F39" s="5" t="str">
        <f t="shared" si="5"/>
        <v/>
      </c>
      <c r="G39" s="5" t="str">
        <f>IF(COUNT(B39:E39)&lt;2,"",_xludf.STDEV.S(B39:E39))</f>
        <v/>
      </c>
      <c r="H39" s="5" t="str">
        <f t="shared" si="6"/>
        <v/>
      </c>
      <c r="I39" s="5" t="str">
        <f t="shared" si="7"/>
        <v/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5" t="str">
        <f t="shared" si="8"/>
        <v/>
      </c>
    </row>
    <row r="40" spans="1:22">
      <c r="A40" s="1" t="s">
        <v>57</v>
      </c>
      <c r="B40" s="4"/>
      <c r="C40" s="4"/>
      <c r="D40" s="4"/>
      <c r="E40" s="4"/>
      <c r="F40" s="5" t="str">
        <f t="shared" si="5"/>
        <v/>
      </c>
      <c r="G40" s="5" t="str">
        <f>IF(COUNT(B40:E40)&lt;2,"",_xludf.STDEV.S(B40:E40))</f>
        <v/>
      </c>
      <c r="H40" s="5" t="str">
        <f t="shared" si="6"/>
        <v/>
      </c>
      <c r="I40" s="5" t="str">
        <f t="shared" si="7"/>
        <v/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5" t="str">
        <f t="shared" si="8"/>
        <v/>
      </c>
    </row>
    <row r="41" spans="1:22">
      <c r="A41" s="1" t="s">
        <v>58</v>
      </c>
      <c r="B41" s="4"/>
      <c r="C41" s="4"/>
      <c r="D41" s="4"/>
      <c r="E41" s="4"/>
      <c r="F41" s="5" t="str">
        <f t="shared" si="5"/>
        <v/>
      </c>
      <c r="G41" s="5" t="str">
        <f>IF(COUNT(B41:E41)&lt;2,"",_xludf.STDEV.S(B41:E41))</f>
        <v/>
      </c>
      <c r="H41" s="5" t="str">
        <f t="shared" si="6"/>
        <v/>
      </c>
      <c r="I41" s="5" t="str">
        <f t="shared" si="7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5" t="str">
        <f t="shared" si="8"/>
        <v/>
      </c>
    </row>
    <row r="42" spans="1:22">
      <c r="A42" s="1" t="s">
        <v>59</v>
      </c>
      <c r="B42" s="4"/>
      <c r="C42" s="4"/>
      <c r="D42" s="4"/>
      <c r="E42" s="4"/>
      <c r="F42" s="5" t="str">
        <f t="shared" si="5"/>
        <v/>
      </c>
      <c r="G42" s="5" t="str">
        <f>IF(COUNT(B42:E42)&lt;2,"",_xludf.STDEV.S(B42:E42))</f>
        <v/>
      </c>
      <c r="H42" s="5" t="str">
        <f t="shared" si="6"/>
        <v/>
      </c>
      <c r="I42" s="5" t="str">
        <f t="shared" si="7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5" t="str">
        <f t="shared" si="8"/>
        <v/>
      </c>
    </row>
    <row r="43" spans="1:22">
      <c r="A43" s="1" t="s">
        <v>60</v>
      </c>
      <c r="B43" s="4"/>
      <c r="C43" s="4"/>
      <c r="D43" s="4"/>
      <c r="E43" s="4"/>
      <c r="F43" s="5" t="str">
        <f t="shared" si="5"/>
        <v/>
      </c>
      <c r="G43" s="5" t="str">
        <f>IF(COUNT(B43:E43)&lt;2,"",_xludf.STDEV.S(B43:E43))</f>
        <v/>
      </c>
      <c r="H43" s="5" t="str">
        <f t="shared" si="6"/>
        <v/>
      </c>
      <c r="I43" s="5" t="str">
        <f t="shared" si="7"/>
        <v/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5" t="str">
        <f t="shared" si="8"/>
        <v/>
      </c>
    </row>
    <row r="44" spans="1:22">
      <c r="A44" s="1" t="s">
        <v>61</v>
      </c>
      <c r="B44" s="4"/>
      <c r="C44" s="4"/>
      <c r="D44" s="4"/>
      <c r="E44" s="4"/>
      <c r="F44" s="5" t="str">
        <f t="shared" si="5"/>
        <v/>
      </c>
      <c r="G44" s="5" t="str">
        <f>IF(COUNT(B44:E44)&lt;2,"",_xludf.STDEV.S(B44:E44))</f>
        <v/>
      </c>
      <c r="H44" s="5" t="str">
        <f t="shared" si="6"/>
        <v/>
      </c>
      <c r="I44" s="5" t="str">
        <f t="shared" si="7"/>
        <v/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5" t="str">
        <f t="shared" si="8"/>
        <v/>
      </c>
    </row>
    <row r="45" spans="1:22">
      <c r="A45" s="1" t="s">
        <v>62</v>
      </c>
      <c r="B45" s="4"/>
      <c r="C45" s="4"/>
      <c r="D45" s="4"/>
      <c r="E45" s="4"/>
      <c r="F45" s="5" t="str">
        <f t="shared" si="5"/>
        <v/>
      </c>
      <c r="G45" s="5" t="str">
        <f>IF(COUNT(B45:E45)&lt;2,"",_xludf.STDEV.S(B45:E45))</f>
        <v/>
      </c>
      <c r="H45" s="5" t="str">
        <f t="shared" si="6"/>
        <v/>
      </c>
      <c r="I45" s="5" t="str">
        <f t="shared" si="7"/>
        <v/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5" t="str">
        <f t="shared" si="8"/>
        <v/>
      </c>
    </row>
    <row r="46" spans="1:22">
      <c r="A46" s="1" t="s">
        <v>63</v>
      </c>
      <c r="B46" s="4"/>
      <c r="C46" s="4"/>
      <c r="D46" s="4"/>
      <c r="E46" s="4"/>
      <c r="F46" s="5" t="str">
        <f t="shared" si="5"/>
        <v/>
      </c>
      <c r="G46" s="5" t="str">
        <f>IF(COUNT(B46:E46)&lt;2,"",_xludf.STDEV.S(B46:E46))</f>
        <v/>
      </c>
      <c r="H46" s="5" t="str">
        <f t="shared" si="6"/>
        <v/>
      </c>
      <c r="I46" s="5" t="str">
        <f t="shared" si="7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5" t="str">
        <f t="shared" si="8"/>
        <v/>
      </c>
    </row>
    <row r="47" spans="1:22">
      <c r="A47" s="1" t="s">
        <v>64</v>
      </c>
      <c r="B47" s="4"/>
      <c r="C47" s="4"/>
      <c r="D47" s="4"/>
      <c r="E47" s="4"/>
      <c r="F47" s="5" t="str">
        <f t="shared" si="5"/>
        <v/>
      </c>
      <c r="G47" s="5" t="str">
        <f>IF(COUNT(B47:E47)&lt;2,"",_xludf.STDEV.S(B47:E47))</f>
        <v/>
      </c>
      <c r="H47" s="5" t="str">
        <f t="shared" si="6"/>
        <v/>
      </c>
      <c r="I47" s="5" t="str">
        <f t="shared" si="7"/>
        <v/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5" t="str">
        <f t="shared" si="8"/>
        <v/>
      </c>
    </row>
    <row r="48" spans="1:22">
      <c r="A48" s="1" t="s">
        <v>65</v>
      </c>
      <c r="B48" s="4"/>
      <c r="C48" s="4"/>
      <c r="D48" s="4"/>
      <c r="E48" s="4"/>
      <c r="F48" s="5" t="str">
        <f t="shared" si="5"/>
        <v/>
      </c>
      <c r="G48" s="5" t="str">
        <f>IF(COUNT(B48:E48)&lt;2,"",_xludf.STDEV.S(B48:E48))</f>
        <v/>
      </c>
      <c r="H48" s="5" t="str">
        <f t="shared" si="6"/>
        <v/>
      </c>
      <c r="I48" s="5" t="str">
        <f t="shared" si="7"/>
        <v/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5" t="str">
        <f t="shared" si="8"/>
        <v/>
      </c>
    </row>
    <row r="49" spans="1:22">
      <c r="A49" s="1" t="s">
        <v>66</v>
      </c>
      <c r="B49" s="4"/>
      <c r="C49" s="4"/>
      <c r="D49" s="4"/>
      <c r="E49" s="4"/>
      <c r="F49" s="5" t="str">
        <f t="shared" si="5"/>
        <v/>
      </c>
      <c r="G49" s="5" t="str">
        <f>IF(COUNT(B49:E49)&lt;2,"",_xludf.STDEV.S(B49:E49))</f>
        <v/>
      </c>
      <c r="H49" s="5" t="str">
        <f t="shared" si="6"/>
        <v/>
      </c>
      <c r="I49" s="5" t="str">
        <f t="shared" si="7"/>
        <v/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5" t="str">
        <f t="shared" si="8"/>
        <v/>
      </c>
    </row>
    <row r="50" spans="1:22">
      <c r="A50" s="1" t="s">
        <v>67</v>
      </c>
      <c r="B50" s="4"/>
      <c r="C50" s="4"/>
      <c r="D50" s="4"/>
      <c r="E50" s="4"/>
      <c r="F50" s="5" t="str">
        <f t="shared" si="5"/>
        <v/>
      </c>
      <c r="G50" s="5" t="str">
        <f>IF(COUNT(B50:E50)&lt;2,"",_xludf.STDEV.S(B50:E50))</f>
        <v/>
      </c>
      <c r="H50" s="5" t="str">
        <f t="shared" si="6"/>
        <v/>
      </c>
      <c r="I50" s="5" t="str">
        <f t="shared" si="7"/>
        <v/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5" t="str">
        <f t="shared" si="8"/>
        <v/>
      </c>
    </row>
    <row r="51" spans="1:22">
      <c r="A51" s="1" t="s">
        <v>68</v>
      </c>
      <c r="B51" s="4"/>
      <c r="C51" s="4"/>
      <c r="D51" s="4"/>
      <c r="E51" s="4"/>
      <c r="F51" s="5" t="str">
        <f t="shared" si="5"/>
        <v/>
      </c>
      <c r="G51" s="5" t="str">
        <f>IF(COUNT(B51:E51)&lt;2,"",_xludf.STDEV.S(B51:E51))</f>
        <v/>
      </c>
      <c r="H51" s="5" t="str">
        <f t="shared" si="6"/>
        <v/>
      </c>
      <c r="I51" s="5" t="str">
        <f t="shared" si="7"/>
        <v/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5" t="str">
        <f t="shared" si="8"/>
        <v/>
      </c>
    </row>
    <row r="52" spans="1:22">
      <c r="A52" s="1" t="s">
        <v>69</v>
      </c>
      <c r="B52" s="4"/>
      <c r="C52" s="4"/>
      <c r="D52" s="4"/>
      <c r="E52" s="4"/>
      <c r="F52" s="5" t="str">
        <f t="shared" si="5"/>
        <v/>
      </c>
      <c r="G52" s="5" t="str">
        <f>IF(COUNT(B52:E52)&lt;2,"",_xludf.STDEV.S(B52:E52))</f>
        <v/>
      </c>
      <c r="H52" s="5" t="str">
        <f t="shared" si="6"/>
        <v/>
      </c>
      <c r="I52" s="5" t="str">
        <f t="shared" si="7"/>
        <v/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5" t="str">
        <f t="shared" si="8"/>
        <v/>
      </c>
    </row>
    <row r="53" spans="1:22">
      <c r="A53" s="1" t="s">
        <v>70</v>
      </c>
      <c r="B53" s="4"/>
      <c r="C53" s="4"/>
      <c r="D53" s="4"/>
      <c r="E53" s="4"/>
      <c r="F53" s="5" t="str">
        <f t="shared" si="5"/>
        <v/>
      </c>
      <c r="G53" s="5" t="str">
        <f>IF(COUNT(B53:E53)&lt;2,"",_xludf.STDEV.S(B53:E53))</f>
        <v/>
      </c>
      <c r="H53" s="5" t="str">
        <f t="shared" si="6"/>
        <v/>
      </c>
      <c r="I53" s="5" t="str">
        <f t="shared" si="7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5" t="str">
        <f t="shared" si="8"/>
        <v/>
      </c>
    </row>
    <row r="54" spans="1:22">
      <c r="A54" s="1" t="s">
        <v>71</v>
      </c>
      <c r="B54" s="4"/>
      <c r="C54" s="4"/>
      <c r="D54" s="4"/>
      <c r="E54" s="4"/>
      <c r="F54" s="5" t="str">
        <f t="shared" si="5"/>
        <v/>
      </c>
      <c r="G54" s="5" t="str">
        <f>IF(COUNT(B54:E54)&lt;2,"",_xludf.STDEV.S(B54:E54))</f>
        <v/>
      </c>
      <c r="H54" s="5" t="str">
        <f t="shared" si="6"/>
        <v/>
      </c>
      <c r="I54" s="5" t="str">
        <f t="shared" si="7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5" t="str">
        <f t="shared" si="8"/>
        <v/>
      </c>
    </row>
    <row r="55" spans="1:22">
      <c r="A55" s="1" t="s">
        <v>72</v>
      </c>
      <c r="B55" s="4"/>
      <c r="C55" s="4"/>
      <c r="D55" s="4"/>
      <c r="E55" s="4"/>
      <c r="F55" s="5" t="str">
        <f t="shared" si="5"/>
        <v/>
      </c>
      <c r="G55" s="5" t="str">
        <f>IF(COUNT(B55:E55)&lt;2,"",_xludf.STDEV.S(B55:E55))</f>
        <v/>
      </c>
      <c r="H55" s="5" t="str">
        <f t="shared" si="6"/>
        <v/>
      </c>
      <c r="I55" s="5" t="str">
        <f t="shared" si="7"/>
        <v/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5" t="str">
        <f t="shared" si="8"/>
        <v/>
      </c>
    </row>
    <row r="56" spans="1:22">
      <c r="A56" s="1" t="s">
        <v>73</v>
      </c>
      <c r="B56" s="4"/>
      <c r="C56" s="4"/>
      <c r="D56" s="4"/>
      <c r="E56" s="4"/>
      <c r="F56" s="5" t="str">
        <f t="shared" si="5"/>
        <v/>
      </c>
      <c r="G56" s="5" t="str">
        <f>IF(COUNT(B56:E56)&lt;2,"",_xludf.STDEV.S(B56:E56))</f>
        <v/>
      </c>
      <c r="H56" s="5" t="str">
        <f t="shared" si="6"/>
        <v/>
      </c>
      <c r="I56" s="5" t="str">
        <f t="shared" si="7"/>
        <v/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5" t="str">
        <f t="shared" si="8"/>
        <v/>
      </c>
    </row>
    <row r="57" spans="1:22">
      <c r="A57" s="1" t="s">
        <v>74</v>
      </c>
      <c r="B57" s="4"/>
      <c r="C57" s="4"/>
      <c r="D57" s="4"/>
      <c r="E57" s="4"/>
      <c r="F57" s="5" t="str">
        <f t="shared" si="5"/>
        <v/>
      </c>
      <c r="G57" s="5" t="str">
        <f>IF(COUNT(B57:E57)&lt;2,"",_xludf.STDEV.S(B57:E57))</f>
        <v/>
      </c>
      <c r="H57" s="5" t="str">
        <f t="shared" si="6"/>
        <v/>
      </c>
      <c r="I57" s="5" t="str">
        <f t="shared" si="7"/>
        <v/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5" t="str">
        <f t="shared" si="8"/>
        <v/>
      </c>
    </row>
    <row r="58" spans="1:22">
      <c r="A58" s="1" t="s">
        <v>75</v>
      </c>
      <c r="B58" s="4"/>
      <c r="C58" s="4"/>
      <c r="D58" s="4"/>
      <c r="E58" s="4"/>
      <c r="F58" s="5" t="str">
        <f t="shared" si="5"/>
        <v/>
      </c>
      <c r="G58" s="5" t="str">
        <f>IF(COUNT(B58:E58)&lt;2,"",_xludf.STDEV.S(B58:E58))</f>
        <v/>
      </c>
      <c r="H58" s="5" t="str">
        <f t="shared" si="6"/>
        <v/>
      </c>
      <c r="I58" s="5" t="str">
        <f t="shared" si="7"/>
        <v/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5" t="str">
        <f t="shared" si="8"/>
        <v/>
      </c>
    </row>
    <row r="59" spans="1:22">
      <c r="A59" s="1" t="s">
        <v>76</v>
      </c>
      <c r="B59" s="4"/>
      <c r="C59" s="4"/>
      <c r="D59" s="4"/>
      <c r="E59" s="4"/>
      <c r="F59" s="5" t="str">
        <f t="shared" si="5"/>
        <v/>
      </c>
      <c r="G59" s="5" t="str">
        <f>IF(COUNT(B59:E59)&lt;2,"",_xludf.STDEV.S(B59:E59))</f>
        <v/>
      </c>
      <c r="H59" s="5" t="str">
        <f t="shared" si="6"/>
        <v/>
      </c>
      <c r="I59" s="5" t="str">
        <f t="shared" si="7"/>
        <v/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5" t="str">
        <f t="shared" si="8"/>
        <v/>
      </c>
    </row>
    <row r="60" spans="1:22">
      <c r="A60" s="1" t="s">
        <v>77</v>
      </c>
      <c r="B60" s="4"/>
      <c r="C60" s="4"/>
      <c r="D60" s="4"/>
      <c r="E60" s="4"/>
      <c r="F60" s="5" t="str">
        <f t="shared" si="5"/>
        <v/>
      </c>
      <c r="G60" s="5" t="str">
        <f>IF(COUNT(B60:E60)&lt;2,"",_xludf.STDEV.S(B60:E60))</f>
        <v/>
      </c>
      <c r="H60" s="5" t="str">
        <f t="shared" si="6"/>
        <v/>
      </c>
      <c r="I60" s="5" t="str">
        <f t="shared" si="7"/>
        <v/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5" t="str">
        <f t="shared" si="8"/>
        <v/>
      </c>
    </row>
    <row r="61" spans="1:22">
      <c r="A61" s="1" t="s">
        <v>78</v>
      </c>
      <c r="B61" s="4"/>
      <c r="C61" s="4"/>
      <c r="D61" s="4"/>
      <c r="E61" s="4"/>
      <c r="F61" s="5" t="str">
        <f t="shared" si="5"/>
        <v/>
      </c>
      <c r="G61" s="5" t="str">
        <f>IF(COUNT(B61:E61)&lt;2,"",_xludf.STDEV.S(B61:E61))</f>
        <v/>
      </c>
      <c r="H61" s="5" t="str">
        <f t="shared" si="6"/>
        <v/>
      </c>
      <c r="I61" s="5" t="str">
        <f t="shared" si="7"/>
        <v/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5" t="str">
        <f t="shared" si="8"/>
        <v/>
      </c>
    </row>
    <row r="62" spans="1:22">
      <c r="A62" s="1" t="s">
        <v>79</v>
      </c>
      <c r="B62" s="4"/>
      <c r="C62" s="4"/>
      <c r="D62" s="4"/>
      <c r="E62" s="4"/>
      <c r="F62" s="5" t="str">
        <f t="shared" si="5"/>
        <v/>
      </c>
      <c r="G62" s="5" t="str">
        <f>IF(COUNT(B62:E62)&lt;2,"",_xludf.STDEV.S(B62:E62))</f>
        <v/>
      </c>
      <c r="H62" s="5" t="str">
        <f t="shared" si="6"/>
        <v/>
      </c>
      <c r="I62" s="5" t="str">
        <f t="shared" si="7"/>
        <v/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5" t="str">
        <f t="shared" si="8"/>
        <v/>
      </c>
    </row>
    <row r="63" spans="1:22">
      <c r="A63" s="1" t="s">
        <v>80</v>
      </c>
      <c r="B63" s="4"/>
      <c r="C63" s="4"/>
      <c r="D63" s="4"/>
      <c r="E63" s="4"/>
      <c r="F63" s="5" t="str">
        <f t="shared" si="5"/>
        <v/>
      </c>
      <c r="G63" s="5" t="str">
        <f>IF(COUNT(B63:E63)&lt;2,"",_xludf.STDEV.S(B63:E63))</f>
        <v/>
      </c>
      <c r="H63" s="5" t="str">
        <f t="shared" si="6"/>
        <v/>
      </c>
      <c r="I63" s="5" t="str">
        <f t="shared" si="7"/>
        <v/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5" t="str">
        <f t="shared" si="8"/>
        <v/>
      </c>
    </row>
    <row r="64" spans="1:22">
      <c r="A64" s="1" t="s">
        <v>81</v>
      </c>
      <c r="B64" s="4"/>
      <c r="C64" s="4"/>
      <c r="D64" s="4"/>
      <c r="E64" s="4"/>
      <c r="F64" s="5" t="str">
        <f t="shared" si="5"/>
        <v/>
      </c>
      <c r="G64" s="5" t="str">
        <f>IF(COUNT(B64:E64)&lt;2,"",_xludf.STDEV.S(B64:E64))</f>
        <v/>
      </c>
      <c r="H64" s="5" t="str">
        <f t="shared" si="6"/>
        <v/>
      </c>
      <c r="I64" s="5" t="str">
        <f t="shared" si="7"/>
        <v/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5" t="str">
        <f t="shared" si="8"/>
        <v/>
      </c>
    </row>
    <row r="65" spans="1:22">
      <c r="A65" s="1" t="s">
        <v>82</v>
      </c>
      <c r="B65" s="4"/>
      <c r="C65" s="4"/>
      <c r="D65" s="4"/>
      <c r="E65" s="4"/>
      <c r="F65" s="5" t="str">
        <f t="shared" si="5"/>
        <v/>
      </c>
      <c r="G65" s="5" t="str">
        <f>IF(COUNT(B65:E65)&lt;2,"",_xludf.STDEV.S(B65:E65))</f>
        <v/>
      </c>
      <c r="H65" s="5" t="str">
        <f t="shared" si="6"/>
        <v/>
      </c>
      <c r="I65" s="5" t="str">
        <f t="shared" si="7"/>
        <v/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5" t="str">
        <f t="shared" si="8"/>
        <v/>
      </c>
    </row>
    <row r="66" spans="1:22">
      <c r="A66" s="1" t="s">
        <v>83</v>
      </c>
      <c r="B66" s="4"/>
      <c r="C66" s="4"/>
      <c r="D66" s="4"/>
      <c r="E66" s="4"/>
      <c r="F66" s="5" t="str">
        <f t="shared" si="5"/>
        <v/>
      </c>
      <c r="G66" s="5" t="str">
        <f>IF(COUNT(B66:E66)&lt;2,"",_xludf.STDEV.S(B66:E66))</f>
        <v/>
      </c>
      <c r="H66" s="5" t="str">
        <f t="shared" si="6"/>
        <v/>
      </c>
      <c r="I66" s="5" t="str">
        <f t="shared" si="7"/>
        <v/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5" t="str">
        <f t="shared" si="8"/>
        <v/>
      </c>
    </row>
    <row r="67" spans="1:22">
      <c r="A67" s="1" t="s">
        <v>84</v>
      </c>
      <c r="B67" s="4"/>
      <c r="C67" s="4"/>
      <c r="D67" s="4"/>
      <c r="E67" s="4"/>
      <c r="F67" s="5" t="str">
        <f t="shared" si="5"/>
        <v/>
      </c>
      <c r="G67" s="5" t="str">
        <f>IF(COUNT(B67:E67)&lt;2,"",_xludf.STDEV.S(B67:E67))</f>
        <v/>
      </c>
      <c r="H67" s="5" t="str">
        <f t="shared" si="6"/>
        <v/>
      </c>
      <c r="I67" s="5" t="str">
        <f t="shared" si="7"/>
        <v/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5" t="str">
        <f t="shared" si="8"/>
        <v/>
      </c>
    </row>
    <row r="68" spans="1:22">
      <c r="A68" s="1" t="s">
        <v>85</v>
      </c>
      <c r="B68" s="4"/>
      <c r="C68" s="4"/>
      <c r="D68" s="4"/>
      <c r="E68" s="4"/>
      <c r="F68" s="5" t="str">
        <f t="shared" si="5"/>
        <v/>
      </c>
      <c r="G68" s="5" t="str">
        <f>IF(COUNT(B68:E68)&lt;2,"",_xludf.STDEV.S(B68:E68))</f>
        <v/>
      </c>
      <c r="H68" s="5" t="str">
        <f t="shared" si="6"/>
        <v/>
      </c>
      <c r="I68" s="5" t="str">
        <f t="shared" si="7"/>
        <v/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5" t="str">
        <f t="shared" si="8"/>
        <v/>
      </c>
    </row>
    <row r="69" spans="1:22">
      <c r="A69" s="1" t="s">
        <v>86</v>
      </c>
      <c r="B69" s="4"/>
      <c r="C69" s="4"/>
      <c r="D69" s="4"/>
      <c r="E69" s="4"/>
      <c r="F69" s="5" t="str">
        <f t="shared" ref="F69:F100" si="9">IF(COUNT(B69:E69)=0,"",AVERAGE(B69:E69))</f>
        <v/>
      </c>
      <c r="G69" s="5" t="str">
        <f>IF(COUNT(B69:E69)&lt;2,"",_xludf.STDEV.S(B69:E69))</f>
        <v/>
      </c>
      <c r="H69" s="5" t="str">
        <f t="shared" ref="H69:H104" si="10">IF(COUNT(B69:E69)=0,"",MIN(B69:E69))</f>
        <v/>
      </c>
      <c r="I69" s="5" t="str">
        <f t="shared" ref="I69:I104" si="11">IF(COUNT(B69:E69)=0,"",MAX(B69:E69))</f>
        <v/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5" t="str">
        <f t="shared" ref="V69:V104" si="12">IF(F69="","",F69+ROW()/100000)</f>
        <v/>
      </c>
    </row>
    <row r="70" spans="1:22">
      <c r="A70" s="1" t="s">
        <v>87</v>
      </c>
      <c r="B70" s="4"/>
      <c r="C70" s="4"/>
      <c r="D70" s="4"/>
      <c r="E70" s="4"/>
      <c r="F70" s="5" t="str">
        <f t="shared" si="9"/>
        <v/>
      </c>
      <c r="G70" s="5" t="str">
        <f>IF(COUNT(B70:E70)&lt;2,"",_xludf.STDEV.S(B70:E70))</f>
        <v/>
      </c>
      <c r="H70" s="5" t="str">
        <f t="shared" si="10"/>
        <v/>
      </c>
      <c r="I70" s="5" t="str">
        <f t="shared" si="11"/>
        <v/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5" t="str">
        <f t="shared" si="12"/>
        <v/>
      </c>
    </row>
    <row r="71" spans="1:22">
      <c r="A71" s="1" t="s">
        <v>88</v>
      </c>
      <c r="B71" s="4"/>
      <c r="C71" s="4"/>
      <c r="D71" s="4"/>
      <c r="E71" s="4"/>
      <c r="F71" s="5" t="str">
        <f t="shared" si="9"/>
        <v/>
      </c>
      <c r="G71" s="5" t="str">
        <f>IF(COUNT(B71:E71)&lt;2,"",_xludf.STDEV.S(B71:E71))</f>
        <v/>
      </c>
      <c r="H71" s="5" t="str">
        <f t="shared" si="10"/>
        <v/>
      </c>
      <c r="I71" s="5" t="str">
        <f t="shared" si="11"/>
        <v/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5" t="str">
        <f t="shared" si="12"/>
        <v/>
      </c>
    </row>
    <row r="72" spans="1:22">
      <c r="A72" s="1" t="s">
        <v>89</v>
      </c>
      <c r="B72" s="4"/>
      <c r="C72" s="4"/>
      <c r="D72" s="4"/>
      <c r="E72" s="4"/>
      <c r="F72" s="5" t="str">
        <f t="shared" si="9"/>
        <v/>
      </c>
      <c r="G72" s="5" t="str">
        <f>IF(COUNT(B72:E72)&lt;2,"",_xludf.STDEV.S(B72:E72))</f>
        <v/>
      </c>
      <c r="H72" s="5" t="str">
        <f t="shared" si="10"/>
        <v/>
      </c>
      <c r="I72" s="5" t="str">
        <f t="shared" si="11"/>
        <v/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5" t="str">
        <f t="shared" si="12"/>
        <v/>
      </c>
    </row>
    <row r="73" spans="1:22">
      <c r="A73" s="1" t="s">
        <v>90</v>
      </c>
      <c r="B73" s="4"/>
      <c r="C73" s="4"/>
      <c r="D73" s="4"/>
      <c r="E73" s="4"/>
      <c r="F73" s="5" t="str">
        <f t="shared" si="9"/>
        <v/>
      </c>
      <c r="G73" s="5" t="str">
        <f>IF(COUNT(B73:E73)&lt;2,"",_xludf.STDEV.S(B73:E73))</f>
        <v/>
      </c>
      <c r="H73" s="5" t="str">
        <f t="shared" si="10"/>
        <v/>
      </c>
      <c r="I73" s="5" t="str">
        <f t="shared" si="11"/>
        <v/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5" t="str">
        <f t="shared" si="12"/>
        <v/>
      </c>
    </row>
    <row r="74" spans="1:22">
      <c r="A74" s="1" t="s">
        <v>91</v>
      </c>
      <c r="B74" s="4"/>
      <c r="C74" s="4"/>
      <c r="D74" s="4"/>
      <c r="E74" s="4"/>
      <c r="F74" s="5" t="str">
        <f t="shared" si="9"/>
        <v/>
      </c>
      <c r="G74" s="5" t="str">
        <f>IF(COUNT(B74:E74)&lt;2,"",_xludf.STDEV.S(B74:E74))</f>
        <v/>
      </c>
      <c r="H74" s="5" t="str">
        <f t="shared" si="10"/>
        <v/>
      </c>
      <c r="I74" s="5" t="str">
        <f t="shared" si="11"/>
        <v/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5" t="str">
        <f t="shared" si="12"/>
        <v/>
      </c>
    </row>
    <row r="75" spans="1:22">
      <c r="A75" s="1" t="s">
        <v>92</v>
      </c>
      <c r="B75" s="4"/>
      <c r="C75" s="4"/>
      <c r="D75" s="4"/>
      <c r="E75" s="4"/>
      <c r="F75" s="5" t="str">
        <f t="shared" si="9"/>
        <v/>
      </c>
      <c r="G75" s="5" t="str">
        <f>IF(COUNT(B75:E75)&lt;2,"",_xludf.STDEV.S(B75:E75))</f>
        <v/>
      </c>
      <c r="H75" s="5" t="str">
        <f t="shared" si="10"/>
        <v/>
      </c>
      <c r="I75" s="5" t="str">
        <f t="shared" si="11"/>
        <v/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5" t="str">
        <f t="shared" si="12"/>
        <v/>
      </c>
    </row>
    <row r="76" spans="1:22">
      <c r="A76" s="1" t="s">
        <v>93</v>
      </c>
      <c r="B76" s="4"/>
      <c r="C76" s="4"/>
      <c r="D76" s="4"/>
      <c r="E76" s="4"/>
      <c r="F76" s="5" t="str">
        <f t="shared" si="9"/>
        <v/>
      </c>
      <c r="G76" s="5" t="str">
        <f>IF(COUNT(B76:E76)&lt;2,"",_xludf.STDEV.S(B76:E76))</f>
        <v/>
      </c>
      <c r="H76" s="5" t="str">
        <f t="shared" si="10"/>
        <v/>
      </c>
      <c r="I76" s="5" t="str">
        <f t="shared" si="11"/>
        <v/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5" t="str">
        <f t="shared" si="12"/>
        <v/>
      </c>
    </row>
    <row r="77" spans="1:22">
      <c r="A77" s="1" t="s">
        <v>94</v>
      </c>
      <c r="B77" s="4"/>
      <c r="C77" s="4"/>
      <c r="D77" s="4"/>
      <c r="E77" s="4"/>
      <c r="F77" s="5" t="str">
        <f t="shared" si="9"/>
        <v/>
      </c>
      <c r="G77" s="5" t="str">
        <f>IF(COUNT(B77:E77)&lt;2,"",_xludf.STDEV.S(B77:E77))</f>
        <v/>
      </c>
      <c r="H77" s="5" t="str">
        <f t="shared" si="10"/>
        <v/>
      </c>
      <c r="I77" s="5" t="str">
        <f t="shared" si="11"/>
        <v/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5" t="str">
        <f t="shared" si="12"/>
        <v/>
      </c>
    </row>
    <row r="78" spans="1:22">
      <c r="A78" s="1" t="s">
        <v>95</v>
      </c>
      <c r="B78" s="4"/>
      <c r="C78" s="4"/>
      <c r="D78" s="4"/>
      <c r="E78" s="4"/>
      <c r="F78" s="5" t="str">
        <f t="shared" si="9"/>
        <v/>
      </c>
      <c r="G78" s="5" t="str">
        <f>IF(COUNT(B78:E78)&lt;2,"",_xludf.STDEV.S(B78:E78))</f>
        <v/>
      </c>
      <c r="H78" s="5" t="str">
        <f t="shared" si="10"/>
        <v/>
      </c>
      <c r="I78" s="5" t="str">
        <f t="shared" si="11"/>
        <v/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5" t="str">
        <f t="shared" si="12"/>
        <v/>
      </c>
    </row>
    <row r="79" spans="1:22">
      <c r="A79" s="1" t="s">
        <v>96</v>
      </c>
      <c r="B79" s="4"/>
      <c r="C79" s="4"/>
      <c r="D79" s="4"/>
      <c r="E79" s="4"/>
      <c r="F79" s="5" t="str">
        <f t="shared" si="9"/>
        <v/>
      </c>
      <c r="G79" s="5" t="str">
        <f>IF(COUNT(B79:E79)&lt;2,"",_xludf.STDEV.S(B79:E79))</f>
        <v/>
      </c>
      <c r="H79" s="5" t="str">
        <f t="shared" si="10"/>
        <v/>
      </c>
      <c r="I79" s="5" t="str">
        <f t="shared" si="11"/>
        <v/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5" t="str">
        <f t="shared" si="12"/>
        <v/>
      </c>
    </row>
    <row r="80" spans="1:22">
      <c r="A80" s="1" t="s">
        <v>97</v>
      </c>
      <c r="B80" s="4"/>
      <c r="C80" s="4"/>
      <c r="D80" s="4"/>
      <c r="E80" s="4"/>
      <c r="F80" s="5" t="str">
        <f t="shared" si="9"/>
        <v/>
      </c>
      <c r="G80" s="5" t="str">
        <f>IF(COUNT(B80:E80)&lt;2,"",_xludf.STDEV.S(B80:E80))</f>
        <v/>
      </c>
      <c r="H80" s="5" t="str">
        <f t="shared" si="10"/>
        <v/>
      </c>
      <c r="I80" s="5" t="str">
        <f t="shared" si="11"/>
        <v/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5" t="str">
        <f t="shared" si="12"/>
        <v/>
      </c>
    </row>
    <row r="81" spans="1:22">
      <c r="A81" s="1" t="s">
        <v>98</v>
      </c>
      <c r="B81" s="4"/>
      <c r="C81" s="4"/>
      <c r="D81" s="4"/>
      <c r="E81" s="4"/>
      <c r="F81" s="5" t="str">
        <f t="shared" si="9"/>
        <v/>
      </c>
      <c r="G81" s="5" t="str">
        <f>IF(COUNT(B81:E81)&lt;2,"",_xludf.STDEV.S(B81:E81))</f>
        <v/>
      </c>
      <c r="H81" s="5" t="str">
        <f t="shared" si="10"/>
        <v/>
      </c>
      <c r="I81" s="5" t="str">
        <f t="shared" si="11"/>
        <v/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5" t="str">
        <f t="shared" si="12"/>
        <v/>
      </c>
    </row>
    <row r="82" spans="1:22">
      <c r="A82" s="1" t="s">
        <v>99</v>
      </c>
      <c r="B82" s="4"/>
      <c r="C82" s="4"/>
      <c r="D82" s="4"/>
      <c r="E82" s="4"/>
      <c r="F82" s="5" t="str">
        <f t="shared" si="9"/>
        <v/>
      </c>
      <c r="G82" s="5" t="str">
        <f>IF(COUNT(B82:E82)&lt;2,"",_xludf.STDEV.S(B82:E82))</f>
        <v/>
      </c>
      <c r="H82" s="5" t="str">
        <f t="shared" si="10"/>
        <v/>
      </c>
      <c r="I82" s="5" t="str">
        <f t="shared" si="11"/>
        <v/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5" t="str">
        <f t="shared" si="12"/>
        <v/>
      </c>
    </row>
    <row r="83" spans="1:22">
      <c r="A83" s="1" t="s">
        <v>100</v>
      </c>
      <c r="B83" s="4"/>
      <c r="C83" s="4"/>
      <c r="D83" s="4"/>
      <c r="E83" s="4"/>
      <c r="F83" s="5" t="str">
        <f t="shared" si="9"/>
        <v/>
      </c>
      <c r="G83" s="5" t="str">
        <f>IF(COUNT(B83:E83)&lt;2,"",_xludf.STDEV.S(B83:E83))</f>
        <v/>
      </c>
      <c r="H83" s="5" t="str">
        <f t="shared" si="10"/>
        <v/>
      </c>
      <c r="I83" s="5" t="str">
        <f t="shared" si="11"/>
        <v/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5" t="str">
        <f t="shared" si="12"/>
        <v/>
      </c>
    </row>
    <row r="84" spans="1:22">
      <c r="A84" s="1" t="s">
        <v>101</v>
      </c>
      <c r="B84" s="4"/>
      <c r="C84" s="4"/>
      <c r="D84" s="4"/>
      <c r="E84" s="4"/>
      <c r="F84" s="5" t="str">
        <f t="shared" si="9"/>
        <v/>
      </c>
      <c r="G84" s="5" t="str">
        <f>IF(COUNT(B84:E84)&lt;2,"",_xludf.STDEV.S(B84:E84))</f>
        <v/>
      </c>
      <c r="H84" s="5" t="str">
        <f t="shared" si="10"/>
        <v/>
      </c>
      <c r="I84" s="5" t="str">
        <f t="shared" si="11"/>
        <v/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5" t="str">
        <f t="shared" si="12"/>
        <v/>
      </c>
    </row>
    <row r="85" spans="1:22">
      <c r="A85" s="1" t="s">
        <v>102</v>
      </c>
      <c r="B85" s="4"/>
      <c r="C85" s="4"/>
      <c r="D85" s="4"/>
      <c r="E85" s="4"/>
      <c r="F85" s="5" t="str">
        <f t="shared" si="9"/>
        <v/>
      </c>
      <c r="G85" s="5" t="str">
        <f>IF(COUNT(B85:E85)&lt;2,"",_xludf.STDEV.S(B85:E85))</f>
        <v/>
      </c>
      <c r="H85" s="5" t="str">
        <f t="shared" si="10"/>
        <v/>
      </c>
      <c r="I85" s="5" t="str">
        <f t="shared" si="11"/>
        <v/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5" t="str">
        <f t="shared" si="12"/>
        <v/>
      </c>
    </row>
    <row r="86" spans="1:22">
      <c r="A86" s="1" t="s">
        <v>103</v>
      </c>
      <c r="B86" s="4"/>
      <c r="C86" s="4"/>
      <c r="D86" s="4"/>
      <c r="E86" s="4"/>
      <c r="F86" s="5" t="str">
        <f t="shared" si="9"/>
        <v/>
      </c>
      <c r="G86" s="5" t="str">
        <f>IF(COUNT(B86:E86)&lt;2,"",_xludf.STDEV.S(B86:E86))</f>
        <v/>
      </c>
      <c r="H86" s="5" t="str">
        <f t="shared" si="10"/>
        <v/>
      </c>
      <c r="I86" s="5" t="str">
        <f t="shared" si="11"/>
        <v/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5" t="str">
        <f t="shared" si="12"/>
        <v/>
      </c>
    </row>
    <row r="87" spans="1:22">
      <c r="A87" s="1" t="s">
        <v>104</v>
      </c>
      <c r="B87" s="4"/>
      <c r="C87" s="4"/>
      <c r="D87" s="4"/>
      <c r="E87" s="4"/>
      <c r="F87" s="5" t="str">
        <f t="shared" si="9"/>
        <v/>
      </c>
      <c r="G87" s="5" t="str">
        <f>IF(COUNT(B87:E87)&lt;2,"",_xludf.STDEV.S(B87:E87))</f>
        <v/>
      </c>
      <c r="H87" s="5" t="str">
        <f t="shared" si="10"/>
        <v/>
      </c>
      <c r="I87" s="5" t="str">
        <f t="shared" si="11"/>
        <v/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5" t="str">
        <f t="shared" si="12"/>
        <v/>
      </c>
    </row>
    <row r="88" spans="1:22">
      <c r="A88" s="1" t="s">
        <v>105</v>
      </c>
      <c r="B88" s="4"/>
      <c r="C88" s="4"/>
      <c r="D88" s="4"/>
      <c r="E88" s="4"/>
      <c r="F88" s="5" t="str">
        <f t="shared" si="9"/>
        <v/>
      </c>
      <c r="G88" s="5" t="str">
        <f>IF(COUNT(B88:E88)&lt;2,"",_xludf.STDEV.S(B88:E88))</f>
        <v/>
      </c>
      <c r="H88" s="5" t="str">
        <f t="shared" si="10"/>
        <v/>
      </c>
      <c r="I88" s="5" t="str">
        <f t="shared" si="11"/>
        <v/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5" t="str">
        <f t="shared" si="12"/>
        <v/>
      </c>
    </row>
    <row r="89" spans="1:22">
      <c r="A89" s="1" t="s">
        <v>106</v>
      </c>
      <c r="B89" s="4"/>
      <c r="C89" s="4"/>
      <c r="D89" s="4"/>
      <c r="E89" s="4"/>
      <c r="F89" s="5" t="str">
        <f t="shared" si="9"/>
        <v/>
      </c>
      <c r="G89" s="5" t="str">
        <f>IF(COUNT(B89:E89)&lt;2,"",_xludf.STDEV.S(B89:E89))</f>
        <v/>
      </c>
      <c r="H89" s="5" t="str">
        <f t="shared" si="10"/>
        <v/>
      </c>
      <c r="I89" s="5" t="str">
        <f t="shared" si="11"/>
        <v/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5" t="str">
        <f t="shared" si="12"/>
        <v/>
      </c>
    </row>
    <row r="90" spans="1:22">
      <c r="A90" s="1" t="s">
        <v>107</v>
      </c>
      <c r="B90" s="4"/>
      <c r="C90" s="4"/>
      <c r="D90" s="4"/>
      <c r="E90" s="4"/>
      <c r="F90" s="5" t="str">
        <f t="shared" si="9"/>
        <v/>
      </c>
      <c r="G90" s="5" t="str">
        <f>IF(COUNT(B90:E90)&lt;2,"",_xludf.STDEV.S(B90:E90))</f>
        <v/>
      </c>
      <c r="H90" s="5" t="str">
        <f t="shared" si="10"/>
        <v/>
      </c>
      <c r="I90" s="5" t="str">
        <f t="shared" si="11"/>
        <v/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5" t="str">
        <f t="shared" si="12"/>
        <v/>
      </c>
    </row>
    <row r="91" spans="1:22">
      <c r="A91" s="1" t="s">
        <v>108</v>
      </c>
      <c r="B91" s="4"/>
      <c r="C91" s="4"/>
      <c r="D91" s="4"/>
      <c r="E91" s="4"/>
      <c r="F91" s="5" t="str">
        <f t="shared" si="9"/>
        <v/>
      </c>
      <c r="G91" s="5" t="str">
        <f>IF(COUNT(B91:E91)&lt;2,"",_xludf.STDEV.S(B91:E91))</f>
        <v/>
      </c>
      <c r="H91" s="5" t="str">
        <f t="shared" si="10"/>
        <v/>
      </c>
      <c r="I91" s="5" t="str">
        <f t="shared" si="11"/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5" t="str">
        <f t="shared" si="12"/>
        <v/>
      </c>
    </row>
    <row r="92" spans="1:22">
      <c r="A92" s="1" t="s">
        <v>109</v>
      </c>
      <c r="B92" s="4"/>
      <c r="C92" s="4"/>
      <c r="D92" s="4"/>
      <c r="E92" s="4"/>
      <c r="F92" s="5" t="str">
        <f t="shared" si="9"/>
        <v/>
      </c>
      <c r="G92" s="5" t="str">
        <f>IF(COUNT(B92:E92)&lt;2,"",_xludf.STDEV.S(B92:E92))</f>
        <v/>
      </c>
      <c r="H92" s="5" t="str">
        <f t="shared" si="10"/>
        <v/>
      </c>
      <c r="I92" s="5" t="str">
        <f t="shared" si="11"/>
        <v/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5" t="str">
        <f t="shared" si="12"/>
        <v/>
      </c>
    </row>
    <row r="93" spans="1:22">
      <c r="A93" s="1" t="s">
        <v>110</v>
      </c>
      <c r="B93" s="4"/>
      <c r="C93" s="4"/>
      <c r="D93" s="4"/>
      <c r="E93" s="4"/>
      <c r="F93" s="5" t="str">
        <f t="shared" si="9"/>
        <v/>
      </c>
      <c r="G93" s="5" t="str">
        <f>IF(COUNT(B93:E93)&lt;2,"",_xludf.STDEV.S(B93:E93))</f>
        <v/>
      </c>
      <c r="H93" s="5" t="str">
        <f t="shared" si="10"/>
        <v/>
      </c>
      <c r="I93" s="5" t="str">
        <f t="shared" si="11"/>
        <v/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5" t="str">
        <f t="shared" si="12"/>
        <v/>
      </c>
    </row>
    <row r="94" spans="1:22">
      <c r="A94" s="1" t="s">
        <v>111</v>
      </c>
      <c r="B94" s="4"/>
      <c r="C94" s="4"/>
      <c r="D94" s="4"/>
      <c r="E94" s="4"/>
      <c r="F94" s="5" t="str">
        <f t="shared" si="9"/>
        <v/>
      </c>
      <c r="G94" s="5" t="str">
        <f>IF(COUNT(B94:E94)&lt;2,"",_xludf.STDEV.S(B94:E94))</f>
        <v/>
      </c>
      <c r="H94" s="5" t="str">
        <f t="shared" si="10"/>
        <v/>
      </c>
      <c r="I94" s="5" t="str">
        <f t="shared" si="11"/>
        <v/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5" t="str">
        <f t="shared" si="12"/>
        <v/>
      </c>
    </row>
    <row r="95" spans="1:22">
      <c r="A95" s="1" t="s">
        <v>112</v>
      </c>
      <c r="B95" s="4"/>
      <c r="C95" s="4"/>
      <c r="D95" s="4"/>
      <c r="E95" s="4"/>
      <c r="F95" s="5" t="str">
        <f t="shared" si="9"/>
        <v/>
      </c>
      <c r="G95" s="5" t="str">
        <f>IF(COUNT(B95:E95)&lt;2,"",_xludf.STDEV.S(B95:E95))</f>
        <v/>
      </c>
      <c r="H95" s="5" t="str">
        <f t="shared" si="10"/>
        <v/>
      </c>
      <c r="I95" s="5" t="str">
        <f t="shared" si="11"/>
        <v/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5" t="str">
        <f t="shared" si="12"/>
        <v/>
      </c>
    </row>
    <row r="96" spans="1:22">
      <c r="A96" s="1" t="s">
        <v>113</v>
      </c>
      <c r="B96" s="4"/>
      <c r="C96" s="4"/>
      <c r="D96" s="4"/>
      <c r="E96" s="4"/>
      <c r="F96" s="5" t="str">
        <f t="shared" si="9"/>
        <v/>
      </c>
      <c r="G96" s="5" t="str">
        <f>IF(COUNT(B96:E96)&lt;2,"",_xludf.STDEV.S(B96:E96))</f>
        <v/>
      </c>
      <c r="H96" s="5" t="str">
        <f t="shared" si="10"/>
        <v/>
      </c>
      <c r="I96" s="5" t="str">
        <f t="shared" si="11"/>
        <v/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5" t="str">
        <f t="shared" si="12"/>
        <v/>
      </c>
    </row>
    <row r="97" spans="1:22">
      <c r="A97" s="1" t="s">
        <v>114</v>
      </c>
      <c r="B97" s="4"/>
      <c r="C97" s="4"/>
      <c r="D97" s="4"/>
      <c r="E97" s="4"/>
      <c r="F97" s="5" t="str">
        <f t="shared" si="9"/>
        <v/>
      </c>
      <c r="G97" s="5" t="str">
        <f>IF(COUNT(B97:E97)&lt;2,"",_xludf.STDEV.S(B97:E97))</f>
        <v/>
      </c>
      <c r="H97" s="5" t="str">
        <f t="shared" si="10"/>
        <v/>
      </c>
      <c r="I97" s="5" t="str">
        <f t="shared" si="11"/>
        <v/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5" t="str">
        <f t="shared" si="12"/>
        <v/>
      </c>
    </row>
    <row r="98" spans="1:22">
      <c r="A98" s="1" t="s">
        <v>115</v>
      </c>
      <c r="B98" s="4"/>
      <c r="C98" s="4"/>
      <c r="D98" s="4"/>
      <c r="E98" s="4"/>
      <c r="F98" s="5" t="str">
        <f t="shared" si="9"/>
        <v/>
      </c>
      <c r="G98" s="5" t="str">
        <f>IF(COUNT(B98:E98)&lt;2,"",_xludf.STDEV.S(B98:E98))</f>
        <v/>
      </c>
      <c r="H98" s="5" t="str">
        <f t="shared" si="10"/>
        <v/>
      </c>
      <c r="I98" s="5" t="str">
        <f t="shared" si="11"/>
        <v/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5" t="str">
        <f t="shared" si="12"/>
        <v/>
      </c>
    </row>
    <row r="99" spans="1:22">
      <c r="A99" s="1" t="s">
        <v>116</v>
      </c>
      <c r="B99" s="4"/>
      <c r="C99" s="4"/>
      <c r="D99" s="4"/>
      <c r="E99" s="4"/>
      <c r="F99" s="5" t="str">
        <f t="shared" si="9"/>
        <v/>
      </c>
      <c r="G99" s="5" t="str">
        <f>IF(COUNT(B99:E99)&lt;2,"",_xludf.STDEV.S(B99:E99))</f>
        <v/>
      </c>
      <c r="H99" s="5" t="str">
        <f t="shared" si="10"/>
        <v/>
      </c>
      <c r="I99" s="5" t="str">
        <f t="shared" si="11"/>
        <v/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5" t="str">
        <f t="shared" si="12"/>
        <v/>
      </c>
    </row>
    <row r="100" spans="1:22">
      <c r="A100" s="1" t="s">
        <v>117</v>
      </c>
      <c r="B100" s="4"/>
      <c r="C100" s="4"/>
      <c r="D100" s="4"/>
      <c r="E100" s="4"/>
      <c r="F100" s="5" t="str">
        <f t="shared" si="9"/>
        <v/>
      </c>
      <c r="G100" s="5" t="str">
        <f>IF(COUNT(B100:E100)&lt;2,"",_xludf.STDEV.S(B100:E100))</f>
        <v/>
      </c>
      <c r="H100" s="5" t="str">
        <f t="shared" si="10"/>
        <v/>
      </c>
      <c r="I100" s="5" t="str">
        <f t="shared" si="11"/>
        <v/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5" t="str">
        <f t="shared" si="12"/>
        <v/>
      </c>
    </row>
    <row r="101" spans="1:22">
      <c r="A101" s="1" t="s">
        <v>118</v>
      </c>
      <c r="B101" s="4"/>
      <c r="C101" s="4"/>
      <c r="D101" s="4"/>
      <c r="E101" s="4"/>
      <c r="F101" s="5" t="str">
        <f t="shared" ref="F101:F104" si="13">IF(COUNT(B101:E101)=0,"",AVERAGE(B101:E101))</f>
        <v/>
      </c>
      <c r="G101" s="5" t="str">
        <f>IF(COUNT(B101:E101)&lt;2,"",_xludf.STDEV.S(B101:E101))</f>
        <v/>
      </c>
      <c r="H101" s="5" t="str">
        <f t="shared" si="10"/>
        <v/>
      </c>
      <c r="I101" s="5" t="str">
        <f t="shared" si="11"/>
        <v/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5" t="str">
        <f t="shared" si="12"/>
        <v/>
      </c>
    </row>
    <row r="102" spans="1:22">
      <c r="A102" s="1" t="s">
        <v>119</v>
      </c>
      <c r="B102" s="4"/>
      <c r="C102" s="4"/>
      <c r="D102" s="4"/>
      <c r="E102" s="4"/>
      <c r="F102" s="5" t="str">
        <f t="shared" si="13"/>
        <v/>
      </c>
      <c r="G102" s="5" t="str">
        <f>IF(COUNT(B102:E102)&lt;2,"",_xludf.STDEV.S(B102:E102))</f>
        <v/>
      </c>
      <c r="H102" s="5" t="str">
        <f t="shared" si="10"/>
        <v/>
      </c>
      <c r="I102" s="5" t="str">
        <f t="shared" si="11"/>
        <v/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5" t="str">
        <f t="shared" si="12"/>
        <v/>
      </c>
    </row>
    <row r="103" spans="1:22">
      <c r="A103" s="1" t="s">
        <v>120</v>
      </c>
      <c r="B103" s="4"/>
      <c r="C103" s="4"/>
      <c r="D103" s="4"/>
      <c r="E103" s="4"/>
      <c r="F103" s="5" t="str">
        <f t="shared" si="13"/>
        <v/>
      </c>
      <c r="G103" s="5" t="str">
        <f>IF(COUNT(B103:E103)&lt;2,"",_xludf.STDEV.S(B103:E103))</f>
        <v/>
      </c>
      <c r="H103" s="5" t="str">
        <f t="shared" si="10"/>
        <v/>
      </c>
      <c r="I103" s="5" t="str">
        <f t="shared" si="11"/>
        <v/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5" t="str">
        <f t="shared" si="12"/>
        <v/>
      </c>
    </row>
    <row r="104" spans="1:22">
      <c r="A104" s="1" t="s">
        <v>121</v>
      </c>
      <c r="B104" s="4"/>
      <c r="C104" s="4"/>
      <c r="D104" s="4"/>
      <c r="E104" s="4"/>
      <c r="F104" s="5" t="str">
        <f t="shared" si="13"/>
        <v/>
      </c>
      <c r="G104" s="5" t="str">
        <f>IF(COUNT(B104:E104)&lt;2,"",_xludf.STDEV.S(B104:E104))</f>
        <v/>
      </c>
      <c r="H104" s="5" t="str">
        <f t="shared" si="10"/>
        <v/>
      </c>
      <c r="I104" s="5" t="str">
        <f t="shared" si="11"/>
        <v/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5" t="str">
        <f t="shared" si="12"/>
        <v/>
      </c>
    </row>
  </sheetData>
  <conditionalFormatting sqref="F5:F104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5:G104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{C07C8F6C-63A8-C8F7-2715-FE0D6F221F3B}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C8F6C-63A8-C8F7-2715-FE0D6F221F3B}">
            <x14:dataBar>
              <x14:cfvo type="min"/>
              <x14:cfvo type="max"/>
              <x14:negativeFillColor auto="1"/>
              <x14:axisColor auto="1"/>
            </x14:dataBar>
          </x14:cfRule>
          <xm:sqref>G5:G104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tabSelected="1" zoomScale="130" zoomScaleNormal="130" workbookViewId="0">
      <selection activeCell="O12" sqref="O12"/>
    </sheetView>
  </sheetViews>
  <sheetFormatPr baseColWidth="10" defaultColWidth="9" defaultRowHeight="13.5"/>
  <cols>
    <col min="1" max="1" width="24" customWidth="1"/>
    <col min="2" max="2" width="14" customWidth="1"/>
    <col min="3" max="3" width="10" customWidth="1"/>
    <col min="4" max="5" width="11" customWidth="1"/>
    <col min="6" max="6" width="10" customWidth="1"/>
    <col min="7" max="7" width="14" customWidth="1"/>
    <col min="8" max="9" width="10" customWidth="1"/>
    <col min="10" max="10" width="16" customWidth="1"/>
    <col min="11" max="12" width="14" customWidth="1"/>
    <col min="13" max="13" width="12" customWidth="1"/>
    <col min="14" max="14" width="16" customWidth="1"/>
    <col min="15" max="15" width="12" customWidth="1"/>
  </cols>
  <sheetData>
    <row r="1" spans="1:15" ht="12" customHeight="1">
      <c r="A1" s="11" t="s">
        <v>122</v>
      </c>
      <c r="B1" s="11" t="s">
        <v>122</v>
      </c>
      <c r="C1" s="11" t="s">
        <v>122</v>
      </c>
      <c r="D1" s="11" t="s">
        <v>122</v>
      </c>
      <c r="E1" s="11" t="s">
        <v>122</v>
      </c>
      <c r="F1" s="11" t="s">
        <v>122</v>
      </c>
      <c r="G1" s="11" t="s">
        <v>122</v>
      </c>
      <c r="H1" s="11" t="s">
        <v>122</v>
      </c>
      <c r="I1" s="11" t="s">
        <v>122</v>
      </c>
      <c r="J1" s="11" t="s">
        <v>122</v>
      </c>
      <c r="K1" s="11" t="s">
        <v>122</v>
      </c>
      <c r="L1" s="11" t="s">
        <v>122</v>
      </c>
      <c r="M1" s="11" t="s">
        <v>122</v>
      </c>
      <c r="N1" s="11" t="s">
        <v>122</v>
      </c>
      <c r="O1" s="11" t="s">
        <v>122</v>
      </c>
    </row>
    <row r="3" spans="1:15" ht="13.9">
      <c r="A3" s="12" t="s">
        <v>123</v>
      </c>
      <c r="B3" s="12" t="s">
        <v>123</v>
      </c>
      <c r="C3" s="12" t="s">
        <v>123</v>
      </c>
      <c r="D3" s="12" t="s">
        <v>123</v>
      </c>
      <c r="E3" s="12" t="s">
        <v>123</v>
      </c>
      <c r="F3" s="12" t="s">
        <v>123</v>
      </c>
      <c r="G3" s="12" t="s">
        <v>123</v>
      </c>
      <c r="H3" s="12" t="s">
        <v>123</v>
      </c>
      <c r="I3" s="12" t="s">
        <v>123</v>
      </c>
      <c r="J3" s="12" t="s">
        <v>123</v>
      </c>
      <c r="K3" s="12" t="s">
        <v>123</v>
      </c>
      <c r="L3" s="12" t="s">
        <v>123</v>
      </c>
      <c r="M3" s="12" t="s">
        <v>123</v>
      </c>
      <c r="N3" s="12" t="s">
        <v>123</v>
      </c>
      <c r="O3" s="12" t="s">
        <v>123</v>
      </c>
    </row>
    <row r="5" spans="1:15">
      <c r="A5" s="6" t="s">
        <v>124</v>
      </c>
      <c r="B5" s="8">
        <f>IF(COUNT(Messdaten!$F$5:$F$104)=0,"",MIN(Messdaten!$F$5:$F$104))</f>
        <v>27.2</v>
      </c>
    </row>
    <row r="6" spans="1:15">
      <c r="A6" s="6" t="s">
        <v>125</v>
      </c>
      <c r="B6" s="8" t="str">
        <f>IF(COUNT(Messdaten!$F$5:$F$104)=0,"",INDEX(Messdaten!$A$5:$A$104,MATCH(SMALL(Messdaten!$V$5:$V$104,1),Messdaten!$V$5:$V$104,0)))</f>
        <v>V009</v>
      </c>
    </row>
    <row r="7" spans="1:15">
      <c r="A7" s="6" t="s">
        <v>126</v>
      </c>
      <c r="B7" s="10">
        <f>COUNT(Messdaten!$F$5:$F$104)</f>
        <v>13</v>
      </c>
    </row>
    <row r="8" spans="1:15">
      <c r="A8" s="6" t="s">
        <v>127</v>
      </c>
      <c r="B8" s="8">
        <f>IF(COUNT(Messdaten!$F$5:$F$104)=0,"",MAX(Messdaten!$F$5:$F$104))</f>
        <v>37.774999999999999</v>
      </c>
    </row>
    <row r="11" spans="1:15" ht="18" customHeight="1">
      <c r="A11" s="7" t="s">
        <v>128</v>
      </c>
      <c r="B11" s="7" t="s">
        <v>129</v>
      </c>
      <c r="C11" s="7" t="s">
        <v>0</v>
      </c>
      <c r="D11" s="7" t="s">
        <v>5</v>
      </c>
      <c r="E11" s="7" t="s">
        <v>6</v>
      </c>
      <c r="F11" s="7" t="s">
        <v>7</v>
      </c>
      <c r="G11" s="7" t="s">
        <v>9</v>
      </c>
      <c r="H11" s="7" t="s">
        <v>10</v>
      </c>
      <c r="I11" s="7" t="s">
        <v>11</v>
      </c>
      <c r="J11" s="7" t="s">
        <v>12</v>
      </c>
      <c r="K11" s="7" t="s">
        <v>13</v>
      </c>
      <c r="L11" s="7" t="s">
        <v>14</v>
      </c>
      <c r="M11" s="7" t="s">
        <v>15</v>
      </c>
      <c r="N11" s="7" t="s">
        <v>16</v>
      </c>
      <c r="O11" s="7" t="s">
        <v>17</v>
      </c>
    </row>
    <row r="12" spans="1:15">
      <c r="A12" s="1">
        <v>1</v>
      </c>
      <c r="B12" s="1">
        <f>IFERROR(SMALL(Messdaten!$V$5:$V$104,A12),"")</f>
        <v>27.200129999999998</v>
      </c>
      <c r="C12" s="1" t="str">
        <f>IF(B12="","",INDEX(Messdaten!$A$5:$A$104,MATCH(B12,Messdaten!$V$5:$V$104,0)))</f>
        <v>V009</v>
      </c>
      <c r="D12" s="9">
        <f>IF(B12="","",INDEX(Messdaten!$F$5:$F$104,MATCH(B12,Messdaten!$V$5:$V$104,0)))</f>
        <v>27.2</v>
      </c>
      <c r="E12" s="9">
        <f>IF(B12="","",INDEX(Messdaten!$G$5:$G$104,MATCH(B12,Messdaten!$V$5:$V$104,0)))</f>
        <v>0.18257418583505472</v>
      </c>
      <c r="F12" s="9">
        <f>IF(B12="","",INDEX(Messdaten!$H$5:$H$104,MATCH(B12,Messdaten!$V$5:$V$104,0)))</f>
        <v>27</v>
      </c>
      <c r="G12" s="1">
        <f>IF(B12="","",INDEX(Messdaten!$J$5:$J$104,MATCH(B12,Messdaten!$V$5:$V$104,0)))</f>
        <v>35</v>
      </c>
      <c r="H12" s="1">
        <f>IF(B12="","",INDEX(Messdaten!$K$5:$K$104,MATCH(B12,Messdaten!$V$5:$V$104,0)))</f>
        <v>-25</v>
      </c>
      <c r="I12" s="1">
        <f>IF(B12="","",INDEX(Messdaten!$L$5:$L$104,MATCH(B12,Messdaten!$V$5:$V$104,0)))</f>
        <v>45</v>
      </c>
      <c r="J12" s="1" t="str">
        <f>IF(B12="","",INDEX(Messdaten!$M$5:$M$104,MATCH(B12,Messdaten!$V$5:$V$104,0)))</f>
        <v>empty</v>
      </c>
      <c r="K12" s="1">
        <f>IF(B12="","",INDEX(Messdaten!$N$5:$N$104,MATCH(B12,Messdaten!$V$5:$V$104,0)))</f>
        <v>8</v>
      </c>
      <c r="L12" s="1">
        <f>IF(B12="","",INDEX(Messdaten!$O$5:$O$104,MATCH(B12,Messdaten!$V$5:$V$104,0)))</f>
        <v>5</v>
      </c>
      <c r="M12" s="1">
        <f>IF(B12="","",INDEX(Messdaten!$P$5:$P$104,MATCH(B12,Messdaten!$V$5:$V$104,0)))</f>
        <v>35</v>
      </c>
      <c r="N12" s="1">
        <f>IF(B12="","",INDEX(Messdaten!$Q$5:$Q$104,MATCH(B12,Messdaten!$V$5:$V$104,0)))</f>
        <v>12</v>
      </c>
      <c r="O12" s="1" t="str">
        <f>IF(B12="","",INDEX(Messdaten!$R$5:$R$104,MATCH(B12,Messdaten!$V$5:$V$104,0)))</f>
        <v>0.3</v>
      </c>
    </row>
    <row r="13" spans="1:15">
      <c r="A13" s="1">
        <v>2</v>
      </c>
      <c r="B13" s="1">
        <f>IFERROR(SMALL(Messdaten!$V$5:$V$104,A13),"")</f>
        <v>27.200180000000003</v>
      </c>
      <c r="C13" s="1" t="str">
        <f>IF(B13="","",INDEX(Messdaten!$A$5:$A$104,MATCH(B13,Messdaten!$V$5:$V$104,0)))</f>
        <v>V014</v>
      </c>
      <c r="D13" s="9">
        <f>IF(B13="","",INDEX(Messdaten!$F$5:$F$104,MATCH(B13,Messdaten!$V$5:$V$104,0)))</f>
        <v>27.200000000000003</v>
      </c>
      <c r="E13" s="9">
        <f>IF(B13="","",INDEX(Messdaten!$G$5:$G$104,MATCH(B13,Messdaten!$V$5:$V$104,0)))</f>
        <v>0.65828058860438377</v>
      </c>
      <c r="F13" s="9">
        <f>IF(B13="","",INDEX(Messdaten!$H$5:$H$104,MATCH(B13,Messdaten!$V$5:$V$104,0)))</f>
        <v>26.4</v>
      </c>
      <c r="G13" s="1">
        <f>IF(B13="","",INDEX(Messdaten!$J$5:$J$104,MATCH(B13,Messdaten!$V$5:$V$104,0)))</f>
        <v>35</v>
      </c>
      <c r="H13" s="1">
        <f>IF(B13="","",INDEX(Messdaten!$K$5:$K$104,MATCH(B13,Messdaten!$V$5:$V$104,0)))</f>
        <v>-25</v>
      </c>
      <c r="I13" s="1">
        <f>IF(B13="","",INDEX(Messdaten!$L$5:$L$104,MATCH(B13,Messdaten!$V$5:$V$104,0)))</f>
        <v>45</v>
      </c>
      <c r="J13" s="1" t="str">
        <f>IF(B13="","",INDEX(Messdaten!$M$5:$M$104,MATCH(B13,Messdaten!$V$5:$V$104,0)))</f>
        <v>empty</v>
      </c>
      <c r="K13" s="1">
        <f>IF(B13="","",INDEX(Messdaten!$N$5:$N$104,MATCH(B13,Messdaten!$V$5:$V$104,0)))</f>
        <v>8</v>
      </c>
      <c r="L13" s="1">
        <f>IF(B13="","",INDEX(Messdaten!$O$5:$O$104,MATCH(B13,Messdaten!$V$5:$V$104,0)))</f>
        <v>5</v>
      </c>
      <c r="M13" s="1">
        <f>IF(B13="","",INDEX(Messdaten!$P$5:$P$104,MATCH(B13,Messdaten!$V$5:$V$104,0)))</f>
        <v>35</v>
      </c>
      <c r="N13" s="1">
        <f>IF(B13="","",INDEX(Messdaten!$Q$5:$Q$104,MATCH(B13,Messdaten!$V$5:$V$104,0)))</f>
        <v>12</v>
      </c>
      <c r="O13" s="1" t="str">
        <f>IF(B13="","",INDEX(Messdaten!$R$5:$R$104,MATCH(B13,Messdaten!$V$5:$V$104,0)))</f>
        <v>0.3</v>
      </c>
    </row>
    <row r="14" spans="1:15">
      <c r="A14" s="1">
        <v>3</v>
      </c>
      <c r="B14" s="1">
        <f>IFERROR(SMALL(Messdaten!$V$5:$V$104,A14),"")</f>
        <v>28.025169999999999</v>
      </c>
      <c r="C14" s="1" t="str">
        <f>IF(B14="","",INDEX(Messdaten!$A$5:$A$104,MATCH(B14,Messdaten!$V$5:$V$104,0)))</f>
        <v>V013</v>
      </c>
      <c r="D14" s="9">
        <f>IF(B14="","",INDEX(Messdaten!$F$5:$F$104,MATCH(B14,Messdaten!$V$5:$V$104,0)))</f>
        <v>28.024999999999999</v>
      </c>
      <c r="E14" s="9">
        <f>IF(B14="","",INDEX(Messdaten!$G$5:$G$104,MATCH(B14,Messdaten!$V$5:$V$104,0)))</f>
        <v>1.0531698185319716</v>
      </c>
      <c r="F14" s="9">
        <f>IF(B14="","",INDEX(Messdaten!$H$5:$H$104,MATCH(B14,Messdaten!$V$5:$V$104,0)))</f>
        <v>26.6</v>
      </c>
      <c r="G14" s="1">
        <f>IF(B14="","",INDEX(Messdaten!$J$5:$J$104,MATCH(B14,Messdaten!$V$5:$V$104,0)))</f>
        <v>35</v>
      </c>
      <c r="H14" s="1">
        <f>IF(B14="","",INDEX(Messdaten!$K$5:$K$104,MATCH(B14,Messdaten!$V$5:$V$104,0)))</f>
        <v>-25</v>
      </c>
      <c r="I14" s="1">
        <f>IF(B14="","",INDEX(Messdaten!$L$5:$L$104,MATCH(B14,Messdaten!$V$5:$V$104,0)))</f>
        <v>45</v>
      </c>
      <c r="J14" s="1" t="str">
        <f>IF(B14="","",INDEX(Messdaten!$M$5:$M$104,MATCH(B14,Messdaten!$V$5:$V$104,0)))</f>
        <v>empty</v>
      </c>
      <c r="K14" s="1">
        <f>IF(B14="","",INDEX(Messdaten!$N$5:$N$104,MATCH(B14,Messdaten!$V$5:$V$104,0)))</f>
        <v>8</v>
      </c>
      <c r="L14" s="1">
        <f>IF(B14="","",INDEX(Messdaten!$O$5:$O$104,MATCH(B14,Messdaten!$V$5:$V$104,0)))</f>
        <v>5</v>
      </c>
      <c r="M14" s="1">
        <f>IF(B14="","",INDEX(Messdaten!$P$5:$P$104,MATCH(B14,Messdaten!$V$5:$V$104,0)))</f>
        <v>35</v>
      </c>
      <c r="N14" s="1">
        <f>IF(B14="","",INDEX(Messdaten!$Q$5:$Q$104,MATCH(B14,Messdaten!$V$5:$V$104,0)))</f>
        <v>12</v>
      </c>
      <c r="O14" s="1" t="str">
        <f>IF(B14="","",INDEX(Messdaten!$R$5:$R$104,MATCH(B14,Messdaten!$V$5:$V$104,0)))</f>
        <v>0.3</v>
      </c>
    </row>
    <row r="15" spans="1:15">
      <c r="A15" s="1">
        <v>4</v>
      </c>
      <c r="B15" s="1">
        <f>IFERROR(SMALL(Messdaten!$V$5:$V$104,A15),"")</f>
        <v>28.075139999999998</v>
      </c>
      <c r="C15" s="1" t="str">
        <f>IF(B15="","",INDEX(Messdaten!$A$5:$A$104,MATCH(B15,Messdaten!$V$5:$V$104,0)))</f>
        <v>V010</v>
      </c>
      <c r="D15" s="9">
        <f>IF(B15="","",INDEX(Messdaten!$F$5:$F$104,MATCH(B15,Messdaten!$V$5:$V$104,0)))</f>
        <v>28.074999999999999</v>
      </c>
      <c r="E15" s="9">
        <f>IF(B15="","",INDEX(Messdaten!$G$5:$G$104,MATCH(B15,Messdaten!$V$5:$V$104,0)))</f>
        <v>0.83016062702748483</v>
      </c>
      <c r="F15" s="9">
        <f>IF(B15="","",INDEX(Messdaten!$H$5:$H$104,MATCH(B15,Messdaten!$V$5:$V$104,0)))</f>
        <v>27</v>
      </c>
      <c r="G15" s="1">
        <f>IF(B15="","",INDEX(Messdaten!$J$5:$J$104,MATCH(B15,Messdaten!$V$5:$V$104,0)))</f>
        <v>37</v>
      </c>
      <c r="H15" s="1">
        <f>IF(B15="","",INDEX(Messdaten!$K$5:$K$104,MATCH(B15,Messdaten!$V$5:$V$104,0)))</f>
        <v>-25</v>
      </c>
      <c r="I15" s="1">
        <f>IF(B15="","",INDEX(Messdaten!$L$5:$L$104,MATCH(B15,Messdaten!$V$5:$V$104,0)))</f>
        <v>42</v>
      </c>
      <c r="J15" s="1" t="str">
        <f>IF(B15="","",INDEX(Messdaten!$M$5:$M$104,MATCH(B15,Messdaten!$V$5:$V$104,0)))</f>
        <v>empty</v>
      </c>
      <c r="K15" s="1">
        <f>IF(B15="","",INDEX(Messdaten!$N$5:$N$104,MATCH(B15,Messdaten!$V$5:$V$104,0)))</f>
        <v>8</v>
      </c>
      <c r="L15" s="1">
        <f>IF(B15="","",INDEX(Messdaten!$O$5:$O$104,MATCH(B15,Messdaten!$V$5:$V$104,0)))</f>
        <v>5</v>
      </c>
      <c r="M15" s="1">
        <f>IF(B15="","",INDEX(Messdaten!$P$5:$P$104,MATCH(B15,Messdaten!$V$5:$V$104,0)))</f>
        <v>35</v>
      </c>
      <c r="N15" s="1">
        <f>IF(B15="","",INDEX(Messdaten!$Q$5:$Q$104,MATCH(B15,Messdaten!$V$5:$V$104,0)))</f>
        <v>12</v>
      </c>
      <c r="O15" s="1" t="str">
        <f>IF(B15="","",INDEX(Messdaten!$R$5:$R$104,MATCH(B15,Messdaten!$V$5:$V$104,0)))</f>
        <v>0.8</v>
      </c>
    </row>
    <row r="16" spans="1:15">
      <c r="A16" s="1">
        <v>5</v>
      </c>
      <c r="B16" s="1">
        <f>IFERROR(SMALL(Messdaten!$V$5:$V$104,A16),"")</f>
        <v>28.375150000000001</v>
      </c>
      <c r="C16" s="1" t="str">
        <f>IF(B16="","",INDEX(Messdaten!$A$5:$A$104,MATCH(B16,Messdaten!$V$5:$V$104,0)))</f>
        <v>V011</v>
      </c>
      <c r="D16" s="9">
        <f>IF(B16="","",INDEX(Messdaten!$F$5:$F$104,MATCH(B16,Messdaten!$V$5:$V$104,0)))</f>
        <v>28.375</v>
      </c>
      <c r="E16" s="9">
        <f>IF(B16="","",INDEX(Messdaten!$G$5:$G$104,MATCH(B16,Messdaten!$V$5:$V$104,0)))</f>
        <v>1.7017148213885114</v>
      </c>
      <c r="F16" s="9">
        <f>IF(B16="","",INDEX(Messdaten!$H$5:$H$104,MATCH(B16,Messdaten!$V$5:$V$104,0)))</f>
        <v>27</v>
      </c>
      <c r="G16" s="1">
        <f>IF(B16="","",INDEX(Messdaten!$J$5:$J$104,MATCH(B16,Messdaten!$V$5:$V$104,0)))</f>
        <v>37</v>
      </c>
      <c r="H16" s="1">
        <f>IF(B16="","",INDEX(Messdaten!$K$5:$K$104,MATCH(B16,Messdaten!$V$5:$V$104,0)))</f>
        <v>-25</v>
      </c>
      <c r="I16" s="1">
        <f>IF(B16="","",INDEX(Messdaten!$L$5:$L$104,MATCH(B16,Messdaten!$V$5:$V$104,0)))</f>
        <v>42</v>
      </c>
      <c r="J16" s="1" t="str">
        <f>IF(B16="","",INDEX(Messdaten!$M$5:$M$104,MATCH(B16,Messdaten!$V$5:$V$104,0)))</f>
        <v>empty</v>
      </c>
      <c r="K16" s="1">
        <f>IF(B16="","",INDEX(Messdaten!$N$5:$N$104,MATCH(B16,Messdaten!$V$5:$V$104,0)))</f>
        <v>8</v>
      </c>
      <c r="L16" s="1">
        <f>IF(B16="","",INDEX(Messdaten!$O$5:$O$104,MATCH(B16,Messdaten!$V$5:$V$104,0)))</f>
        <v>5</v>
      </c>
      <c r="M16" s="1">
        <f>IF(B16="","",INDEX(Messdaten!$P$5:$P$104,MATCH(B16,Messdaten!$V$5:$V$104,0)))</f>
        <v>35</v>
      </c>
      <c r="N16" s="1">
        <f>IF(B16="","",INDEX(Messdaten!$Q$5:$Q$104,MATCH(B16,Messdaten!$V$5:$V$104,0)))</f>
        <v>12</v>
      </c>
      <c r="O16" s="1" t="str">
        <f>IF(B16="","",INDEX(Messdaten!$R$5:$R$104,MATCH(B16,Messdaten!$V$5:$V$104,0)))</f>
        <v>0.8</v>
      </c>
    </row>
    <row r="17" spans="1:15">
      <c r="A17" s="1">
        <v>6</v>
      </c>
      <c r="B17" s="1">
        <f>IFERROR(SMALL(Messdaten!$V$5:$V$104,A17),"")</f>
        <v>29.425160000000002</v>
      </c>
      <c r="C17" s="1" t="str">
        <f>IF(B17="","",INDEX(Messdaten!$A$5:$A$104,MATCH(B17,Messdaten!$V$5:$V$104,0)))</f>
        <v>V012</v>
      </c>
      <c r="D17" s="9">
        <f>IF(B17="","",INDEX(Messdaten!$F$5:$F$104,MATCH(B17,Messdaten!$V$5:$V$104,0)))</f>
        <v>29.425000000000001</v>
      </c>
      <c r="E17" s="9">
        <f>IF(B17="","",INDEX(Messdaten!$G$5:$G$104,MATCH(B17,Messdaten!$V$5:$V$104,0)))</f>
        <v>1.0719919153923996</v>
      </c>
      <c r="F17" s="9">
        <f>IF(B17="","",INDEX(Messdaten!$H$5:$H$104,MATCH(B17,Messdaten!$V$5:$V$104,0)))</f>
        <v>28.6</v>
      </c>
      <c r="G17" s="1">
        <f>IF(B17="","",INDEX(Messdaten!$J$5:$J$104,MATCH(B17,Messdaten!$V$5:$V$104,0)))</f>
        <v>35</v>
      </c>
      <c r="H17" s="1">
        <f>IF(B17="","",INDEX(Messdaten!$K$5:$K$104,MATCH(B17,Messdaten!$V$5:$V$104,0)))</f>
        <v>-25</v>
      </c>
      <c r="I17" s="1">
        <f>IF(B17="","",INDEX(Messdaten!$L$5:$L$104,MATCH(B17,Messdaten!$V$5:$V$104,0)))</f>
        <v>45</v>
      </c>
      <c r="J17" s="1" t="str">
        <f>IF(B17="","",INDEX(Messdaten!$M$5:$M$104,MATCH(B17,Messdaten!$V$5:$V$104,0)))</f>
        <v>empty</v>
      </c>
      <c r="K17" s="1">
        <f>IF(B17="","",INDEX(Messdaten!$N$5:$N$104,MATCH(B17,Messdaten!$V$5:$V$104,0)))</f>
        <v>8</v>
      </c>
      <c r="L17" s="1">
        <f>IF(B17="","",INDEX(Messdaten!$O$5:$O$104,MATCH(B17,Messdaten!$V$5:$V$104,0)))</f>
        <v>5</v>
      </c>
      <c r="M17" s="1">
        <f>IF(B17="","",INDEX(Messdaten!$P$5:$P$104,MATCH(B17,Messdaten!$V$5:$V$104,0)))</f>
        <v>35</v>
      </c>
      <c r="N17" s="1">
        <f>IF(B17="","",INDEX(Messdaten!$Q$5:$Q$104,MATCH(B17,Messdaten!$V$5:$V$104,0)))</f>
        <v>12</v>
      </c>
      <c r="O17" s="1" t="str">
        <f>IF(B17="","",INDEX(Messdaten!$R$5:$R$104,MATCH(B17,Messdaten!$V$5:$V$104,0)))</f>
        <v>0.8</v>
      </c>
    </row>
    <row r="18" spans="1:15">
      <c r="A18" s="1">
        <v>7</v>
      </c>
      <c r="B18" s="1">
        <f>IFERROR(SMALL(Messdaten!$V$5:$V$104,A18),"")</f>
        <v>30.200109999999999</v>
      </c>
      <c r="C18" s="1" t="str">
        <f>IF(B18="","",INDEX(Messdaten!$A$5:$A$104,MATCH(B18,Messdaten!$V$5:$V$104,0)))</f>
        <v>V007</v>
      </c>
      <c r="D18" s="9">
        <f>IF(B18="","",INDEX(Messdaten!$F$5:$F$104,MATCH(B18,Messdaten!$V$5:$V$104,0)))</f>
        <v>30.2</v>
      </c>
      <c r="E18" s="9">
        <f>IF(B18="","",INDEX(Messdaten!$G$5:$G$104,MATCH(B18,Messdaten!$V$5:$V$104,0)))</f>
        <v>0.9797958971132712</v>
      </c>
      <c r="F18" s="9">
        <f>IF(B18="","",INDEX(Messdaten!$H$5:$H$104,MATCH(B18,Messdaten!$V$5:$V$104,0)))</f>
        <v>29</v>
      </c>
      <c r="G18" s="1">
        <f>IF(B18="","",INDEX(Messdaten!$J$5:$J$104,MATCH(B18,Messdaten!$V$5:$V$104,0)))</f>
        <v>30</v>
      </c>
      <c r="H18" s="1">
        <f>IF(B18="","",INDEX(Messdaten!$K$5:$K$104,MATCH(B18,Messdaten!$V$5:$V$104,0)))</f>
        <v>-25</v>
      </c>
      <c r="I18" s="1">
        <f>IF(B18="","",INDEX(Messdaten!$L$5:$L$104,MATCH(B18,Messdaten!$V$5:$V$104,0)))</f>
        <v>45</v>
      </c>
      <c r="J18" s="1" t="str">
        <f>IF(B18="","",INDEX(Messdaten!$M$5:$M$104,MATCH(B18,Messdaten!$V$5:$V$104,0)))</f>
        <v>empty</v>
      </c>
      <c r="K18" s="1">
        <f>IF(B18="","",INDEX(Messdaten!$N$5:$N$104,MATCH(B18,Messdaten!$V$5:$V$104,0)))</f>
        <v>10</v>
      </c>
      <c r="L18" s="1">
        <f>IF(B18="","",INDEX(Messdaten!$O$5:$O$104,MATCH(B18,Messdaten!$V$5:$V$104,0)))</f>
        <v>8</v>
      </c>
      <c r="M18" s="1">
        <f>IF(B18="","",INDEX(Messdaten!$P$5:$P$104,MATCH(B18,Messdaten!$V$5:$V$104,0)))</f>
        <v>35</v>
      </c>
      <c r="N18" s="1">
        <f>IF(B18="","",INDEX(Messdaten!$Q$5:$Q$104,MATCH(B18,Messdaten!$V$5:$V$104,0)))</f>
        <v>12</v>
      </c>
      <c r="O18" s="1" t="str">
        <f>IF(B18="","",INDEX(Messdaten!$R$5:$R$104,MATCH(B18,Messdaten!$V$5:$V$104,0)))</f>
        <v>0.5</v>
      </c>
    </row>
    <row r="19" spans="1:15">
      <c r="A19" s="1">
        <v>8</v>
      </c>
      <c r="B19" s="1">
        <f>IFERROR(SMALL(Messdaten!$V$5:$V$104,A19),"")</f>
        <v>30.825120000000002</v>
      </c>
      <c r="C19" s="1" t="str">
        <f>IF(B19="","",INDEX(Messdaten!$A$5:$A$104,MATCH(B19,Messdaten!$V$5:$V$104,0)))</f>
        <v>V008</v>
      </c>
      <c r="D19" s="9">
        <f>IF(B19="","",INDEX(Messdaten!$F$5:$F$104,MATCH(B19,Messdaten!$V$5:$V$104,0)))</f>
        <v>30.825000000000003</v>
      </c>
      <c r="E19" s="9">
        <f>IF(B19="","",INDEX(Messdaten!$G$5:$G$104,MATCH(B19,Messdaten!$V$5:$V$104,0)))</f>
        <v>0.59090326337452737</v>
      </c>
      <c r="F19" s="9">
        <f>IF(B19="","",INDEX(Messdaten!$H$5:$H$104,MATCH(B19,Messdaten!$V$5:$V$104,0)))</f>
        <v>30</v>
      </c>
      <c r="G19" s="1">
        <f>IF(B19="","",INDEX(Messdaten!$J$5:$J$104,MATCH(B19,Messdaten!$V$5:$V$104,0)))</f>
        <v>30</v>
      </c>
      <c r="H19" s="1">
        <f>IF(B19="","",INDEX(Messdaten!$K$5:$K$104,MATCH(B19,Messdaten!$V$5:$V$104,0)))</f>
        <v>-25</v>
      </c>
      <c r="I19" s="1">
        <f>IF(B19="","",INDEX(Messdaten!$L$5:$L$104,MATCH(B19,Messdaten!$V$5:$V$104,0)))</f>
        <v>45</v>
      </c>
      <c r="J19" s="1" t="str">
        <f>IF(B19="","",INDEX(Messdaten!$M$5:$M$104,MATCH(B19,Messdaten!$V$5:$V$104,0)))</f>
        <v>empty</v>
      </c>
      <c r="K19" s="1">
        <f>IF(B19="","",INDEX(Messdaten!$N$5:$N$104,MATCH(B19,Messdaten!$V$5:$V$104,0)))</f>
        <v>8</v>
      </c>
      <c r="L19" s="1">
        <f>IF(B19="","",INDEX(Messdaten!$O$5:$O$104,MATCH(B19,Messdaten!$V$5:$V$104,0)))</f>
        <v>5</v>
      </c>
      <c r="M19" s="1">
        <f>IF(B19="","",INDEX(Messdaten!$P$5:$P$104,MATCH(B19,Messdaten!$V$5:$V$104,0)))</f>
        <v>35</v>
      </c>
      <c r="N19" s="1">
        <f>IF(B19="","",INDEX(Messdaten!$Q$5:$Q$104,MATCH(B19,Messdaten!$V$5:$V$104,0)))</f>
        <v>12</v>
      </c>
      <c r="O19" s="1" t="str">
        <f>IF(B19="","",INDEX(Messdaten!$R$5:$R$104,MATCH(B19,Messdaten!$V$5:$V$104,0)))</f>
        <v>0.5</v>
      </c>
    </row>
    <row r="20" spans="1:15">
      <c r="A20" s="1">
        <v>9</v>
      </c>
      <c r="B20" s="1">
        <f>IFERROR(SMALL(Messdaten!$V$5:$V$104,A20),"")</f>
        <v>32.200090000000003</v>
      </c>
      <c r="C20" s="1" t="str">
        <f>IF(B20="","",INDEX(Messdaten!$A$5:$A$104,MATCH(B20,Messdaten!$V$5:$V$104,0)))</f>
        <v>V005</v>
      </c>
      <c r="D20" s="9">
        <f>IF(B20="","",INDEX(Messdaten!$F$5:$F$104,MATCH(B20,Messdaten!$V$5:$V$104,0)))</f>
        <v>32.200000000000003</v>
      </c>
      <c r="E20" s="9">
        <f>IF(B20="","",INDEX(Messdaten!$G$5:$G$104,MATCH(B20,Messdaten!$V$5:$V$104,0)))</f>
        <v>0.84852813742385402</v>
      </c>
      <c r="F20" s="9">
        <f>IF(B20="","",INDEX(Messdaten!$H$5:$H$104,MATCH(B20,Messdaten!$V$5:$V$104,0)))</f>
        <v>31.6</v>
      </c>
      <c r="G20" s="1">
        <f>IF(B20="","",INDEX(Messdaten!$J$5:$J$104,MATCH(B20,Messdaten!$V$5:$V$104,0)))</f>
        <v>30</v>
      </c>
      <c r="H20" s="1">
        <f>IF(B20="","",INDEX(Messdaten!$K$5:$K$104,MATCH(B20,Messdaten!$V$5:$V$104,0)))</f>
        <v>-22</v>
      </c>
      <c r="I20" s="1">
        <f>IF(B20="","",INDEX(Messdaten!$L$5:$L$104,MATCH(B20,Messdaten!$V$5:$V$104,0)))</f>
        <v>40</v>
      </c>
      <c r="J20" s="1">
        <f>IF(B20="","",INDEX(Messdaten!$M$5:$M$104,MATCH(B20,Messdaten!$V$5:$V$104,0)))</f>
        <v>20</v>
      </c>
      <c r="K20" s="1">
        <f>IF(B20="","",INDEX(Messdaten!$N$5:$N$104,MATCH(B20,Messdaten!$V$5:$V$104,0)))</f>
        <v>10</v>
      </c>
      <c r="L20" s="1">
        <f>IF(B20="","",INDEX(Messdaten!$O$5:$O$104,MATCH(B20,Messdaten!$V$5:$V$104,0)))</f>
        <v>8</v>
      </c>
      <c r="M20" s="1">
        <f>IF(B20="","",INDEX(Messdaten!$P$5:$P$104,MATCH(B20,Messdaten!$V$5:$V$104,0)))</f>
        <v>35</v>
      </c>
      <c r="N20" s="1">
        <f>IF(B20="","",INDEX(Messdaten!$Q$5:$Q$104,MATCH(B20,Messdaten!$V$5:$V$104,0)))</f>
        <v>12</v>
      </c>
      <c r="O20" s="1" t="str">
        <f>IF(B20="","",INDEX(Messdaten!$R$5:$R$104,MATCH(B20,Messdaten!$V$5:$V$104,0)))</f>
        <v>0.15</v>
      </c>
    </row>
    <row r="21" spans="1:15">
      <c r="A21" s="1">
        <v>10</v>
      </c>
      <c r="B21" s="1">
        <f>IFERROR(SMALL(Messdaten!$V$5:$V$104,A21),"")</f>
        <v>32.375079999999997</v>
      </c>
      <c r="C21" s="1" t="str">
        <f>IF(B21="","",INDEX(Messdaten!$A$5:$A$104,MATCH(B21,Messdaten!$V$5:$V$104,0)))</f>
        <v>V004</v>
      </c>
      <c r="D21" s="9">
        <f>IF(B21="","",INDEX(Messdaten!$F$5:$F$104,MATCH(B21,Messdaten!$V$5:$V$104,0)))</f>
        <v>32.375</v>
      </c>
      <c r="E21" s="9">
        <f>IF(B21="","",INDEX(Messdaten!$G$5:$G$104,MATCH(B21,Messdaten!$V$5:$V$104,0)))</f>
        <v>0.44999999999999968</v>
      </c>
      <c r="F21" s="9">
        <f>IF(B21="","",INDEX(Messdaten!$H$5:$H$104,MATCH(B21,Messdaten!$V$5:$V$104,0)))</f>
        <v>32</v>
      </c>
      <c r="G21" s="1">
        <f>IF(B21="","",INDEX(Messdaten!$J$5:$J$104,MATCH(B21,Messdaten!$V$5:$V$104,0)))</f>
        <v>30</v>
      </c>
      <c r="H21" s="1">
        <f>IF(B21="","",INDEX(Messdaten!$K$5:$K$104,MATCH(B21,Messdaten!$V$5:$V$104,0)))</f>
        <v>-22</v>
      </c>
      <c r="I21" s="1">
        <f>IF(B21="","",INDEX(Messdaten!$L$5:$L$104,MATCH(B21,Messdaten!$V$5:$V$104,0)))</f>
        <v>40</v>
      </c>
      <c r="J21" s="1">
        <f>IF(B21="","",INDEX(Messdaten!$M$5:$M$104,MATCH(B21,Messdaten!$V$5:$V$104,0)))</f>
        <v>20</v>
      </c>
      <c r="K21" s="1">
        <f>IF(B21="","",INDEX(Messdaten!$N$5:$N$104,MATCH(B21,Messdaten!$V$5:$V$104,0)))</f>
        <v>10</v>
      </c>
      <c r="L21" s="1">
        <f>IF(B21="","",INDEX(Messdaten!$O$5:$O$104,MATCH(B21,Messdaten!$V$5:$V$104,0)))</f>
        <v>12</v>
      </c>
      <c r="M21" s="1">
        <f>IF(B21="","",INDEX(Messdaten!$P$5:$P$104,MATCH(B21,Messdaten!$V$5:$V$104,0)))</f>
        <v>35</v>
      </c>
      <c r="N21" s="1">
        <f>IF(B21="","",INDEX(Messdaten!$Q$5:$Q$104,MATCH(B21,Messdaten!$V$5:$V$104,0)))</f>
        <v>10</v>
      </c>
      <c r="O21" s="1" t="str">
        <f>IF(B21="","",INDEX(Messdaten!$R$5:$R$104,MATCH(B21,Messdaten!$V$5:$V$104,0)))</f>
        <v>0.15</v>
      </c>
    </row>
  </sheetData>
  <mergeCells count="2">
    <mergeCell ref="A1:O1"/>
    <mergeCell ref="A3:O3"/>
  </mergeCells>
  <conditionalFormatting sqref="D12:D21">
    <cfRule type="colorScale" priority="1">
      <colorScale>
        <cfvo type="min"/>
        <cfvo type="percentile" val="50"/>
        <cfvo type="max"/>
        <color rgb="FFD4EDDA"/>
        <color rgb="FFFFF3CD"/>
        <color rgb="FFF8D7D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Messdaten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Mühlhofer</cp:lastModifiedBy>
  <dcterms:modified xsi:type="dcterms:W3CDTF">2026-06-16T21:22:17Z</dcterms:modified>
</cp:coreProperties>
</file>